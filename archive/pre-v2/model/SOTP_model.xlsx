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9932e0b07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e5eb823b074c53"/>
    <x:sheet xmlns:r="http://schemas.openxmlformats.org/officeDocument/2006/relationships" name="Segment Inputs" sheetId="2" r:id="R1abfb44c09df4639"/>
    <x:sheet xmlns:r="http://schemas.openxmlformats.org/officeDocument/2006/relationships" name="DCF Check" sheetId="3" r:id="R3dcec57386964946"/>
    <x:sheet xmlns:r="http://schemas.openxmlformats.org/officeDocument/2006/relationships" name="Sources" sheetId="4" r:id="R0c72ef66582f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0.0%"/>
  </x:numFmts>
  <x:fonts count="8">
    <x:font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color rgb="FF008000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sz val="11"/>
      <x:color rgb="FF0000FF"/>
      <x:name val="Aptos"/>
    </x:font>
    <x:font>
      <x:i/>
      <x:sz val="11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1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200" fontId="6" fillId="7" borderId="1" xfId="0" applyNumberFormat="1" applyFont="1" applyFill="1" applyBorder="1"/>
    <x:xf numFmtId="200" fontId="5" fillId="5" borderId="1" xfId="0" applyNumberFormat="1" applyFont="1" applyFill="1" applyBorder="1"/>
    <x:xf numFmtId="201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202" fontId="6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94b2c964a4947" /><Relationship Type="http://schemas.openxmlformats.org/officeDocument/2006/relationships/theme" Target="/xl/theme/theme1.xml" Id="Ree0982b759444166" /><Relationship Type="http://schemas.openxmlformats.org/officeDocument/2006/relationships/sharedStrings" Target="/xl/sharedStrings.xml" Id="Refd977ec50c040e3" /><Relationship Type="http://schemas.openxmlformats.org/officeDocument/2006/relationships/worksheet" Target="/xl/worksheets/sheet1.xml" Id="Rcfe5eb823b074c53" /><Relationship Type="http://schemas.openxmlformats.org/officeDocument/2006/relationships/worksheet" Target="/xl/worksheets/sheet2.xml" Id="R1abfb44c09df4639" /><Relationship Type="http://schemas.openxmlformats.org/officeDocument/2006/relationships/worksheet" Target="/xl/worksheets/sheet3.xml" Id="R3dcec57386964946" /><Relationship Type="http://schemas.openxmlformats.org/officeDocument/2006/relationships/worksheet" Target="/xl/worksheets/sheet4.xml" Id="R0c72ef66582f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5" hidden="0" customWidth="1"/>
    <x:col min="4" max="4" width="32" hidden="0" customWidth="1"/>
    <x:col min="5" max="5" width="22" hidden="0" customWidth="1"/>
    <x:col min="6" max="6" width="3" hidden="0" customWidth="1"/>
  </x:cols>
  <x:sheetData>
    <x:row r="1" ht="30" customHeight="1">
      <x:c r="A1" s="3" t="str">
        <x:v>SK hynix SOTP Valuation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Primary valuation · Segment economics remain separate; DCF is a cross-check, not an averaged target</x:v>
      </x:c>
      <x:c r="B2" s="6"/>
      <x:c r="C2" s="6"/>
      <x:c r="D2" s="6"/>
      <x:c r="E2" s="6"/>
      <x:c r="F2" s="6"/>
      <x:c r="G2" s="6"/>
      <x:c r="H2" s="6"/>
    </x:row>
    <x:row r="4">
      <x:c r="A4" t="str">
        <x:v>Selected Scenario</x:v>
      </x:c>
      <x:c r="B4" s="8" t="str">
        <x:f>'Segment Inputs'!B3</x:f>
        <x:v>Base</x:v>
      </x:c>
    </x:row>
    <x:row r="6">
      <x:c r="A6" s="14" t="str">
        <x:v>Segment</x:v>
      </x:c>
      <x:c r="B6" s="14" t="str">
        <x:v>Active EBIT</x:v>
      </x:c>
      <x:c r="C6" s="14" t="str">
        <x:v>Multiple</x:v>
      </x:c>
      <x:c r="D6" s="14" t="str">
        <x:v>Segment EV</x:v>
      </x:c>
      <x:c r="E6" s="14" t="str">
        <x:v>Role</x:v>
      </x:c>
    </x:row>
    <x:row r="7">
      <x:c r="A7" t="str">
        <x:v>HBM &amp; AI DRAM</x:v>
      </x:c>
      <x:c r="B7" s="15" t="n">
        <x:f>'Segment Inputs'!I6</x:f>
        <x:v>12000</x:v>
      </x:c>
      <x:c r="C7" s="15" t="n">
        <x:f>'Segment Inputs'!J6</x:f>
        <x:v>12</x:v>
      </x:c>
      <x:c r="D7" s="19" t="n">
        <x:f>B7*C7</x:f>
        <x:v>144000</x:v>
      </x:c>
      <x:c r="E7" t="str">
        <x:v>Growth / visibility</x:v>
      </x:c>
    </x:row>
    <x:row r="8">
      <x:c r="A8" t="str">
        <x:v>Conventional DRAM</x:v>
      </x:c>
      <x:c r="B8" s="15" t="n">
        <x:f>'Segment Inputs'!I7</x:f>
        <x:v>6000</x:v>
      </x:c>
      <x:c r="C8" s="15" t="n">
        <x:f>'Segment Inputs'!J7</x:f>
        <x:v>7</x:v>
      </x:c>
      <x:c r="D8" s="19" t="n">
        <x:f>B8*C8</x:f>
        <x:v>42000</x:v>
      </x:c>
      <x:c r="E8" t="str">
        <x:v>Mid-cycle anchor</x:v>
      </x:c>
    </x:row>
    <x:row r="9">
      <x:c r="A9" t="str">
        <x:v>NAND &amp; Solidigm</x:v>
      </x:c>
      <x:c r="B9" s="15" t="n">
        <x:f>'Segment Inputs'!I8</x:f>
        <x:v>1500</x:v>
      </x:c>
      <x:c r="C9" s="15" t="n">
        <x:f>'Segment Inputs'!J8</x:f>
        <x:v>6</x:v>
      </x:c>
      <x:c r="D9" s="19" t="n">
        <x:f>B9*C9</x:f>
        <x:v>9000</x:v>
      </x:c>
      <x:c r="E9" t="str">
        <x:v>NAND peer check</x:v>
      </x:c>
    </x:row>
    <x:row r="10">
      <x:c r="A10" t="str">
        <x:v>Other &amp; Adjustments</x:v>
      </x:c>
      <x:c r="B10" s="15" t="n">
        <x:f>'Segment Inputs'!I9</x:f>
        <x:v>300</x:v>
      </x:c>
      <x:c r="C10" s="15" t="n">
        <x:f>'Segment Inputs'!J9</x:f>
        <x:v>5</x:v>
      </x:c>
      <x:c r="D10" s="19" t="n">
        <x:f>B10*C10</x:f>
        <x:v>1500</x:v>
      </x:c>
      <x:c r="E10" t="str">
        <x:v>Conservative</x:v>
      </x:c>
    </x:row>
    <x:row r="12">
      <x:c r="A12" t="str">
        <x:v>Enterprise Value</x:v>
      </x:c>
      <x:c r="B12"/>
      <x:c r="C12"/>
      <x:c r="D12" s="19" t="n">
        <x:f>SUM(D7:D10)</x:f>
        <x:v>196500</x:v>
      </x:c>
    </x:row>
    <x:row r="13">
      <x:c r="A13" t="str">
        <x:v>Net Cash / (Debt)</x:v>
      </x:c>
      <x:c r="B13"/>
      <x:c r="C13"/>
      <x:c r="D13" s="19" t="n">
        <x:f>'Segment Inputs'!B13</x:f>
        <x:v>5000</x:v>
      </x:c>
    </x:row>
    <x:row r="14">
      <x:c r="A14" t="str">
        <x:v>Non-operating Assets</x:v>
      </x:c>
      <x:c r="B14"/>
      <x:c r="C14"/>
      <x:c r="D14" s="19" t="n">
        <x:f>'Segment Inputs'!B14</x:f>
        <x:v>2000</x:v>
      </x:c>
    </x:row>
    <x:row r="15">
      <x:c r="A15" t="str">
        <x:v>Equity Value</x:v>
      </x:c>
      <x:c r="B15"/>
      <x:c r="C15"/>
      <x:c r="D15" s="19" t="n">
        <x:f>SUM(D12:D14)</x:f>
        <x:v>203500</x:v>
      </x:c>
    </x:row>
    <x:row r="16">
      <x:c r="A16" t="str">
        <x:v>Value per Share</x:v>
      </x:c>
      <x:c r="B16"/>
      <x:c r="C16"/>
      <x:c r="D16" s="19" t="n">
        <x:f>D15*1000/'Segment Inputs'!B15</x:f>
        <x:v>282638.8888888889</x:v>
      </x:c>
    </x:row>
    <x:row r="18">
      <x:c r="A18" s="21" t="str">
        <x:v>DCF Cross-check</x:v>
      </x:c>
      <x:c r="B18" s="21" t="str">
        <x:v>DCF Cross-check</x:v>
      </x:c>
      <x:c r="C18" s="21" t="str">
        <x:v>DCF Cross-check</x:v>
      </x:c>
      <x:c r="D18" s="21" t="str">
        <x:v>DCF Cross-check</x:v>
      </x:c>
    </x:row>
    <x:row r="19">
      <x:c r="A19" s="14" t="str">
        <x:v>Metric</x:v>
      </x:c>
      <x:c r="B19" s="14" t="str">
        <x:v>SOTP</x:v>
      </x:c>
      <x:c r="C19" s="14" t="str">
        <x:v>DCF</x:v>
      </x:c>
      <x:c r="D19" s="14" t="str">
        <x:v>Interpretation</x:v>
      </x:c>
    </x:row>
    <x:row r="20">
      <x:c r="A20" t="str">
        <x:v>Equity Value</x:v>
      </x:c>
      <x:c r="B20" s="22" t="n">
        <x:f>D15</x:f>
        <x:v>203500</x:v>
      </x:c>
      <x:c r="C20" s="22" t="n">
        <x:f>'DCF Check'!B24</x:f>
        <x:v>232248.331330374</x:v>
      </x:c>
      <x:c r="D20" t="str">
        <x:v>If DCF is lower, revisit CAPEX and cash conversion</x:v>
      </x:c>
    </x:row>
    <x:row r="21">
      <x:c r="A21" t="str">
        <x:v>Value per Share</x:v>
      </x:c>
      <x:c r="B21" s="22" t="n">
        <x:f>D16</x:f>
        <x:v>282638.8888888889</x:v>
      </x:c>
      <x:c r="C21" s="22" t="n">
        <x:f>'DCF Check'!B25</x:f>
        <x:v>322567.12684774166</x:v>
      </x:c>
      <x:c r="D21" t="str">
        <x:v>Do not average mechanically</x:v>
      </x:c>
    </x:row>
    <x:row r="22">
      <x:c r="A22" t="str">
        <x:v>DCF / SOTP</x:v>
      </x:c>
      <x:c r="B22" s="23" t="n">
        <x:f>C20/B20</x:f>
        <x:v>1.1412694414268993</x:v>
      </x:c>
      <x:c r="C22"/>
      <x:c r="D22" t="str">
        <x:v>Large gap requires explanation</x:v>
      </x:c>
    </x:row>
  </x:sheetData>
  <x:mergeCells>
    <x:mergeCell ref="A1:H1"/>
    <x:mergeCell ref="A2:H2"/>
    <x:mergeCell ref="A18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1" hidden="0" customWidth="1"/>
    <x:col min="4" max="4" width="14" hidden="0" customWidth="1"/>
    <x:col min="5" max="5" width="11" hidden="0" customWidth="1"/>
    <x:col min="6" max="6" width="14" hidden="0" customWidth="1"/>
    <x:col min="7" max="7" width="11" hidden="0" customWidth="1"/>
    <x:col min="8" max="8" width="14" hidden="0" customWidth="1"/>
    <x:col min="9" max="9" width="14" hidden="0" customWidth="1"/>
    <x:col min="10" max="10" width="11" hidden="0" customWidth="1"/>
  </x:cols>
  <x:sheetData>
    <x:row r="1" ht="30" customHeight="1">
      <x:c r="A1" s="3" t="str">
        <x:v>Segment Inputs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6" t="str">
        <x:v>Illustrative inputs; active columns I:J change with the scenario selector</x:v>
      </x:c>
      <x:c r="B2" s="6"/>
      <x:c r="C2" s="6"/>
      <x:c r="D2" s="6"/>
      <x:c r="E2" s="6"/>
      <x:c r="F2" s="6"/>
      <x:c r="G2" s="6"/>
      <x:c r="H2" s="6"/>
    </x:row>
    <x:row r="3">
      <x:c r="A3" t="str">
        <x:v>Selected Scenario</x:v>
      </x:c>
      <x:c r="B3" s="26" t="str">
        <x:v>Base</x:v>
      </x:c>
    </x:row>
    <x:row r="5">
      <x:c r="A5" s="14" t="str">
        <x:v>Segment</x:v>
      </x:c>
      <x:c r="B5" s="14" t="str">
        <x:v>Base EBIT</x:v>
      </x:c>
      <x:c r="C5" s="14" t="str">
        <x:v>Base x</x:v>
      </x:c>
      <x:c r="D5" s="14" t="str">
        <x:v>Bull EBIT</x:v>
      </x:c>
      <x:c r="E5" s="14" t="str">
        <x:v>Bull x</x:v>
      </x:c>
      <x:c r="F5" s="14" t="str">
        <x:v>Bear EBIT</x:v>
      </x:c>
      <x:c r="G5" s="14" t="str">
        <x:v>Bear x</x:v>
      </x:c>
      <x:c r="H5" s="14" t="str">
        <x:v>Basis</x:v>
      </x:c>
      <x:c r="I5" s="14" t="str">
        <x:v>Active EBIT</x:v>
      </x:c>
      <x:c r="J5" s="14" t="str">
        <x:v>Active x</x:v>
      </x:c>
    </x:row>
    <x:row r="6">
      <x:c r="A6" t="str">
        <x:v>HBM &amp; AI DRAM</x:v>
      </x:c>
      <x:c r="B6" s="27" t="n">
        <x:v>12000</x:v>
      </x:c>
      <x:c r="C6" s="27" t="n">
        <x:v>12</x:v>
      </x:c>
      <x:c r="D6" s="27" t="n">
        <x:v>15000</x:v>
      </x:c>
      <x:c r="E6" s="27" t="n">
        <x:v>13.5</x:v>
      </x:c>
      <x:c r="F6" s="27" t="n">
        <x:v>7500</x:v>
      </x:c>
      <x:c r="G6" s="27" t="n">
        <x:v>8.5</x:v>
      </x:c>
      <x:c r="H6" t="str">
        <x:v>EV / EBIT</x:v>
      </x:c>
      <x:c r="I6" s="28" t="n">
        <x:f>IF($B$3="Bull",D6,IF($B$3="Bear",F6,B6))</x:f>
        <x:v>12000</x:v>
      </x:c>
      <x:c r="J6" s="28" t="n">
        <x:f>IF($B$3="Bull",E6,IF($B$3="Bear",G6,C6))</x:f>
        <x:v>12</x:v>
      </x:c>
    </x:row>
    <x:row r="7">
      <x:c r="A7" t="str">
        <x:v>Conventional DRAM</x:v>
      </x:c>
      <x:c r="B7" s="27" t="n">
        <x:v>6000</x:v>
      </x:c>
      <x:c r="C7" s="27" t="n">
        <x:v>7</x:v>
      </x:c>
      <x:c r="D7" s="27" t="n">
        <x:v>7500</x:v>
      </x:c>
      <x:c r="E7" s="27" t="n">
        <x:v>8</x:v>
      </x:c>
      <x:c r="F7" s="27" t="n">
        <x:v>2500</x:v>
      </x:c>
      <x:c r="G7" s="27" t="n">
        <x:v>5</x:v>
      </x:c>
      <x:c r="H7" t="str">
        <x:v>EV / EBIT</x:v>
      </x:c>
      <x:c r="I7" s="28" t="n">
        <x:f>IF($B$3="Bull",D7,IF($B$3="Bear",F7,B7))</x:f>
        <x:v>6000</x:v>
      </x:c>
      <x:c r="J7" s="28" t="n">
        <x:f>IF($B$3="Bull",E7,IF($B$3="Bear",G7,C7))</x:f>
        <x:v>7</x:v>
      </x:c>
    </x:row>
    <x:row r="8">
      <x:c r="A8" t="str">
        <x:v>NAND &amp; Solidigm</x:v>
      </x:c>
      <x:c r="B8" s="27" t="n">
        <x:v>1500</x:v>
      </x:c>
      <x:c r="C8" s="27" t="n">
        <x:v>6</x:v>
      </x:c>
      <x:c r="D8" s="27" t="n">
        <x:v>2800</x:v>
      </x:c>
      <x:c r="E8" s="27" t="n">
        <x:v>7</x:v>
      </x:c>
      <x:c r="F8" s="27" t="n">
        <x:v>-500</x:v>
      </x:c>
      <x:c r="G8" s="27" t="n">
        <x:v>4</x:v>
      </x:c>
      <x:c r="H8" t="str">
        <x:v>EV / EBIT</x:v>
      </x:c>
      <x:c r="I8" s="28" t="n">
        <x:f>IF($B$3="Bull",D8,IF($B$3="Bear",F8,B8))</x:f>
        <x:v>1500</x:v>
      </x:c>
      <x:c r="J8" s="28" t="n">
        <x:f>IF($B$3="Bull",E8,IF($B$3="Bear",G8,C8))</x:f>
        <x:v>6</x:v>
      </x:c>
    </x:row>
    <x:row r="9">
      <x:c r="A9" t="str">
        <x:v>Other &amp; Adjustments</x:v>
      </x:c>
      <x:c r="B9" s="27" t="n">
        <x:v>300</x:v>
      </x:c>
      <x:c r="C9" s="27" t="n">
        <x:v>5</x:v>
      </x:c>
      <x:c r="D9" s="27" t="n">
        <x:v>500</x:v>
      </x:c>
      <x:c r="E9" s="27" t="n">
        <x:v>5.5</x:v>
      </x:c>
      <x:c r="F9" s="27" t="n">
        <x:v>0</x:v>
      </x:c>
      <x:c r="G9" s="27" t="n">
        <x:v>3</x:v>
      </x:c>
      <x:c r="H9" t="str">
        <x:v>EV / EBIT</x:v>
      </x:c>
      <x:c r="I9" s="28" t="n">
        <x:f>IF($B$3="Bull",D9,IF($B$3="Bear",F9,B9))</x:f>
        <x:v>300</x:v>
      </x:c>
      <x:c r="J9" s="28" t="n">
        <x:f>IF($B$3="Bull",E9,IF($B$3="Bear",G9,C9))</x:f>
        <x:v>5</x:v>
      </x:c>
    </x:row>
    <x:row r="12">
      <x:c r="A12" s="14" t="str">
        <x:v>Balance sheet items</x:v>
      </x:c>
      <x:c r="B12" s="14" t="str">
        <x:v>Input</x:v>
      </x:c>
    </x:row>
    <x:row r="13">
      <x:c r="A13" t="str">
        <x:v>Net Cash / (Debt), KRW bn</x:v>
      </x:c>
      <x:c r="B13" s="29" t="n">
        <x:v>5000</x:v>
      </x:c>
    </x:row>
    <x:row r="14">
      <x:c r="A14" t="str">
        <x:v>Non-operating Assets, KRW bn</x:v>
      </x:c>
      <x:c r="B14" s="29" t="n">
        <x:v>2000</x:v>
      </x:c>
    </x:row>
    <x:row r="15">
      <x:c r="A15" t="str">
        <x:v>Diluted Shares, mn</x:v>
      </x:c>
      <x:c r="B15" s="29" t="n">
        <x:v>720</x:v>
      </x:c>
    </x:row>
    <x:row r="17" ht="34" customHeight="1">
      <x:c r="A17" s="32" t="str">
        <x:v>Decision rule</x:v>
      </x:c>
      <x:c r="B17" s="32" t="str">
        <x:v>SOTP is the center value. DCF and PER are diagnostic cross-checks.</x:v>
      </x:c>
      <x:c r="C17" s="32"/>
      <x:c r="D17" s="32"/>
      <x:c r="E17" s="32"/>
      <x:c r="F17" s="32"/>
      <x:c r="G17" s="32"/>
      <x:c r="H17" s="32"/>
      <x:c r="I17" s="32"/>
      <x:c r="J17" s="32"/>
    </x:row>
    <x:row r="18" ht="34" customHeight="1">
      <x:c r="A18" s="32" t="str">
        <x:v>Warning</x:v>
      </x:c>
      <x:c r="B18" s="32" t="str">
        <x:v>Negative NAND EBIT should not be valued with a positive earnings multiple without normalization.</x:v>
      </x:c>
      <x:c r="C18" s="32"/>
      <x:c r="D18" s="32"/>
      <x:c r="E18" s="32"/>
      <x:c r="F18" s="32"/>
      <x:c r="G18" s="32"/>
      <x:c r="H18" s="32"/>
      <x:c r="I18" s="32"/>
      <x:c r="J18" s="32"/>
    </x:row>
  </x:sheetData>
  <x:mergeCells>
    <x:mergeCell ref="A1:J1"/>
    <x:mergeCell ref="A2:H2"/>
    <x:mergeCell ref="B17:J17"/>
    <x:mergeCell ref="B18:J18"/>
  </x:mergeCells>
  <x:dataValidations count="1">
    <x:dataValidation type="list" sqref="B3">
      <x:formula1>"Base,Bull,Bear"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3" hidden="0" customWidth="1"/>
  </x:cols>
  <x:sheetData>
    <x:row r="1" ht="30" customHeight="1">
      <x:c r="A1" s="3" t="str">
        <x:v>DCF Cash-flow Check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Illustrative unlevered DCF · focus on CAPEX, working capital, and normalized margins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Metric</x:v>
      </x:c>
      <x:c r="B4" s="14" t="str">
        <x:v>2026E</x:v>
      </x:c>
      <x:c r="C4" s="14" t="str">
        <x:v>2027E</x:v>
      </x:c>
      <x:c r="D4" s="14" t="str">
        <x:v>2028E</x:v>
      </x:c>
      <x:c r="E4" s="14" t="str">
        <x:v>2029E</x:v>
      </x:c>
      <x:c r="F4" s="14" t="str">
        <x:v>2030E</x:v>
      </x:c>
    </x:row>
    <x:row r="5">
      <x:c r="A5" t="str">
        <x:v>Revenue</x:v>
      </x:c>
      <x:c r="B5" s="26" t="n">
        <x:v>90000</x:v>
      </x:c>
      <x:c r="C5" s="26" t="n">
        <x:v>102000</x:v>
      </x:c>
      <x:c r="D5" s="26" t="n">
        <x:v>112000</x:v>
      </x:c>
      <x:c r="E5" s="26" t="n">
        <x:v>118000</x:v>
      </x:c>
      <x:c r="F5" s="26" t="n">
        <x:v>122000</x:v>
      </x:c>
    </x:row>
    <x:row r="6">
      <x:c r="A6" t="str">
        <x:v>EBIT Margin</x:v>
      </x:c>
      <x:c r="B6" s="33" t="n">
        <x:v>0.32</x:v>
      </x:c>
      <x:c r="C6" s="33" t="n">
        <x:v>0.34</x:v>
      </x:c>
      <x:c r="D6" s="33" t="n">
        <x:v>0.33</x:v>
      </x:c>
      <x:c r="E6" s="33" t="n">
        <x:v>0.3</x:v>
      </x:c>
      <x:c r="F6" s="33" t="n">
        <x:v>0.28</x:v>
      </x:c>
    </x:row>
    <x:row r="7">
      <x:c r="A7" t="str">
        <x:v>EBIT</x:v>
      </x:c>
      <x:c r="B7" s="19" t="n">
        <x:f>B5*B6</x:f>
        <x:v>28800</x:v>
      </x:c>
      <x:c r="C7" s="19" t="n">
        <x:f>C5*C6</x:f>
        <x:v>34680</x:v>
      </x:c>
      <x:c r="D7" s="19" t="n">
        <x:f>D5*D6</x:f>
        <x:v>36960</x:v>
      </x:c>
      <x:c r="E7" s="19" t="n">
        <x:f>E5*E6</x:f>
        <x:v>35400</x:v>
      </x:c>
      <x:c r="F7" s="19" t="n">
        <x:f>F5*F6</x:f>
        <x:v>34160</x:v>
      </x:c>
    </x:row>
    <x:row r="8">
      <x:c r="A8" t="str">
        <x:v>Tax Rate</x:v>
      </x:c>
      <x:c r="B8" s="33" t="n">
        <x:v>0.24</x:v>
      </x:c>
      <x:c r="C8" s="33" t="n">
        <x:v>0.24</x:v>
      </x:c>
      <x:c r="D8" s="33" t="n">
        <x:v>0.24</x:v>
      </x:c>
      <x:c r="E8" s="33" t="n">
        <x:v>0.24</x:v>
      </x:c>
      <x:c r="F8" s="33" t="n">
        <x:v>0.24</x:v>
      </x:c>
    </x:row>
    <x:row r="9">
      <x:c r="A9" t="str">
        <x:v>NOPAT</x:v>
      </x:c>
      <x:c r="B9" s="19" t="n">
        <x:f>B7*(1-B8)</x:f>
        <x:v>21888</x:v>
      </x:c>
      <x:c r="C9" s="19" t="n">
        <x:f>C7*(1-C8)</x:f>
        <x:v>26356.8</x:v>
      </x:c>
      <x:c r="D9" s="19" t="n">
        <x:f>D7*(1-D8)</x:f>
        <x:v>28089.6</x:v>
      </x:c>
      <x:c r="E9" s="19" t="n">
        <x:f>E7*(1-E8)</x:f>
        <x:v>26904</x:v>
      </x:c>
      <x:c r="F9" s="19" t="n">
        <x:f>F7*(1-F8)</x:f>
        <x:v>25961.6</x:v>
      </x:c>
    </x:row>
    <x:row r="10">
      <x:c r="A10" t="str">
        <x:v>D&amp;A</x:v>
      </x:c>
      <x:c r="B10" s="26" t="n">
        <x:v>12000</x:v>
      </x:c>
      <x:c r="C10" s="26" t="n">
        <x:v>13000</x:v>
      </x:c>
      <x:c r="D10" s="26" t="n">
        <x:v>14000</x:v>
      </x:c>
      <x:c r="E10" s="26" t="n">
        <x:v>14500</x:v>
      </x:c>
      <x:c r="F10" s="26" t="n">
        <x:v>15000</x:v>
      </x:c>
    </x:row>
    <x:row r="11">
      <x:c r="A11" t="str">
        <x:v>CAPEX</x:v>
      </x:c>
      <x:c r="B11" s="26" t="n">
        <x:v>22000</x:v>
      </x:c>
      <x:c r="C11" s="26" t="n">
        <x:v>24000</x:v>
      </x:c>
      <x:c r="D11" s="26" t="n">
        <x:v>24000</x:v>
      </x:c>
      <x:c r="E11" s="26" t="n">
        <x:v>23000</x:v>
      </x:c>
      <x:c r="F11" s="26" t="n">
        <x:v>22000</x:v>
      </x:c>
    </x:row>
    <x:row r="12">
      <x:c r="A12" t="str">
        <x:v>Change in NWC</x:v>
      </x:c>
      <x:c r="B12" s="26" t="n">
        <x:v>1500</x:v>
      </x:c>
      <x:c r="C12" s="26" t="n">
        <x:v>1800</x:v>
      </x:c>
      <x:c r="D12" s="26" t="n">
        <x:v>1800</x:v>
      </x:c>
      <x:c r="E12" s="26" t="n">
        <x:v>1500</x:v>
      </x:c>
      <x:c r="F12" s="26" t="n">
        <x:v>1200</x:v>
      </x:c>
    </x:row>
    <x:row r="13">
      <x:c r="A13" t="str">
        <x:v>FCFF</x:v>
      </x:c>
      <x:c r="B13" s="19" t="n">
        <x:f>B9+B10-B11-B12</x:f>
        <x:v>10388</x:v>
      </x:c>
      <x:c r="C13" s="19" t="n">
        <x:f>C9+C10-C11-C12</x:f>
        <x:v>13556.800000000003</x:v>
      </x:c>
      <x:c r="D13" s="19" t="n">
        <x:f>D9+D10-D11-D12</x:f>
        <x:v>16289.599999999999</x:v>
      </x:c>
      <x:c r="E13" s="19" t="n">
        <x:f>E9+E10-E11-E12</x:f>
        <x:v>16904</x:v>
      </x:c>
      <x:c r="F13" s="19" t="n">
        <x:f>F9+F10-F11-F12</x:f>
        <x:v>17761.6</x:v>
      </x:c>
    </x:row>
    <x:row r="16">
      <x:c r="A16" s="14" t="str">
        <x:v>DCF Assumptions</x:v>
      </x:c>
      <x:c r="B16" s="14" t="str">
        <x:v>Input</x:v>
      </x:c>
    </x:row>
    <x:row r="17">
      <x:c r="A17" t="str">
        <x:v>WACC</x:v>
      </x:c>
      <x:c r="B17" s="33" t="n">
        <x:v>0.09</x:v>
      </x:c>
    </x:row>
    <x:row r="18">
      <x:c r="A18" t="str">
        <x:v>Terminal Growth</x:v>
      </x:c>
      <x:c r="B18" s="33" t="n">
        <x:v>0.02</x:v>
      </x:c>
    </x:row>
    <x:row r="20">
      <x:c r="A20" t="str">
        <x:v>PV of Explicit FCFF</x:v>
      </x:c>
      <x:c r="B20" s="19" t="n">
        <x:f>B13/(1+$B$17)^1+C13/(1+$B$17)^2+D13/(1+$B$17)^3+E13/(1+$B$17)^4+F13/(1+$B$17)^5</x:f>
        <x:v>57038.36365759937</x:v>
      </x:c>
    </x:row>
    <x:row r="21">
      <x:c r="A21" t="str">
        <x:v>Terminal Value</x:v>
      </x:c>
      <x:c r="B21" s="19" t="n">
        <x:f>F13*(1+$B$18)/($B$17-$B$18)</x:f>
        <x:v>258811.88571428572</x:v>
      </x:c>
    </x:row>
    <x:row r="22">
      <x:c r="A22" t="str">
        <x:v>PV of Terminal Value</x:v>
      </x:c>
      <x:c r="B22" s="19" t="n">
        <x:f>B21/(1+$B$17)^5</x:f>
        <x:v>168209.96767277463</x:v>
      </x:c>
    </x:row>
    <x:row r="23">
      <x:c r="A23" t="str">
        <x:v>Enterprise Value</x:v>
      </x:c>
      <x:c r="B23" s="19" t="n">
        <x:f>SUM(B20,B22)</x:f>
        <x:v>225248.331330374</x:v>
      </x:c>
    </x:row>
    <x:row r="24">
      <x:c r="A24" t="str">
        <x:v>Equity Value</x:v>
      </x:c>
      <x:c r="B24" s="19" t="n">
        <x:f>B23+'Segment Inputs'!B13+'Segment Inputs'!B14</x:f>
        <x:v>232248.331330374</x:v>
      </x:c>
    </x:row>
    <x:row r="25">
      <x:c r="A25" t="str">
        <x:v>Value per Share</x:v>
      </x:c>
      <x:c r="B25" s="19" t="n">
        <x:f>B24*1000/'Segment Inputs'!B15</x:f>
        <x:v>322567.12684774166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38" hidden="0" customWidth="1"/>
    <x:col min="4" max="4" width="13" hidden="0" customWidth="1"/>
    <x:col min="5" max="5" width="13" hidden="0" customWidth="1"/>
    <x:col min="6" max="6" width="14" hidden="0" customWidth="1"/>
    <x:col min="7" max="7" width="13" hidden="0" customWidth="1"/>
    <x:col min="8" max="8" width="32" hidden="0" customWidth="1"/>
  </x:cols>
  <x:sheetData>
    <x:row r="1" ht="30" customHeight="1">
      <x:c r="A1" s="3" t="str">
        <x:v>Sources &amp; Valuation Rationale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Separate observed data from analyst assumptions and record why each multiple is used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Item</x:v>
      </x:c>
      <x:c r="B4" s="14" t="str">
        <x:v>Source</x:v>
      </x:c>
      <x:c r="C4" s="14" t="str">
        <x:v>URL / File</x:v>
      </x:c>
      <x:c r="D4" s="14" t="str">
        <x:v>As-of</x:v>
      </x:c>
      <x:c r="E4" s="14" t="str">
        <x:v>Unit</x:v>
      </x:c>
      <x:c r="F4" s="14" t="str">
        <x:v>Type</x:v>
      </x:c>
      <x:c r="G4" s="14" t="str">
        <x:v>Owner</x:v>
      </x:c>
      <x:c r="H4" s="14" t="str">
        <x:v>Rationale / update trigger</x:v>
      </x:c>
    </x:row>
    <x:row r="5">
      <x:c r="A5" s="34" t="str">
        <x:v>Segment EBIT</x:v>
      </x:c>
      <x:c r="B5" s="35" t="str">
        <x:v>SK hynix IR / analyst split</x:v>
      </x:c>
      <x:c r="C5" s="35" t="str">
        <x:v>https://news.skhynix.com/category/ir/</x:v>
      </x:c>
      <x:c r="D5" s="35" t="str"/>
      <x:c r="E5" s="35" t="str">
        <x:v>KRW bn</x:v>
      </x:c>
      <x:c r="F5" s="35" t="str">
        <x:v>Estimate</x:v>
      </x:c>
      <x:c r="G5" s="35" t="str">
        <x:v>Analyst</x:v>
      </x:c>
      <x:c r="H5" s="35" t="str">
        <x:v>Update after results</x:v>
      </x:c>
    </x:row>
    <x:row r="6">
      <x:c r="A6" s="34" t="str">
        <x:v>HBM multiple</x:v>
      </x:c>
      <x:c r="B6" s="35" t="str">
        <x:v>Micron anchor + HBM bridge</x:v>
      </x:c>
      <x:c r="C6" s="35" t="str"/>
      <x:c r="D6" s="35" t="str"/>
      <x:c r="E6" s="35" t="str">
        <x:v>x</x:v>
      </x:c>
      <x:c r="F6" s="35" t="str">
        <x:v>Assumption</x:v>
      </x:c>
      <x:c r="G6" s="35" t="str">
        <x:v>Analyst</x:v>
      </x:c>
      <x:c r="H6" s="35" t="str">
        <x:v>Revisit on visibility/ROE change</x:v>
      </x:c>
    </x:row>
    <x:row r="7">
      <x:c r="A7" s="34" t="str">
        <x:v>DRAM multiple</x:v>
      </x:c>
      <x:c r="B7" s="35" t="str">
        <x:v>Mid-cycle memory comps</x:v>
      </x:c>
      <x:c r="C7" s="35" t="str"/>
      <x:c r="D7" s="35" t="str"/>
      <x:c r="E7" s="35" t="str">
        <x:v>x</x:v>
      </x:c>
      <x:c r="F7" s="35" t="str">
        <x:v>Assumption</x:v>
      </x:c>
      <x:c r="G7" s="35" t="str">
        <x:v>Analyst</x:v>
      </x:c>
      <x:c r="H7" s="35" t="str">
        <x:v>Revisit through cycle</x:v>
      </x:c>
    </x:row>
    <x:row r="8">
      <x:c r="A8" s="34" t="str">
        <x:v>NAND multiple</x:v>
      </x:c>
      <x:c r="B8" s="35" t="str">
        <x:v>Kioxia / SanDisk</x:v>
      </x:c>
      <x:c r="C8" s="35" t="str"/>
      <x:c r="D8" s="35" t="str"/>
      <x:c r="E8" s="35" t="str">
        <x:v>x</x:v>
      </x:c>
      <x:c r="F8" s="35" t="str">
        <x:v>Assumption</x:v>
      </x:c>
      <x:c r="G8" s="35" t="str">
        <x:v>Analyst</x:v>
      </x:c>
      <x:c r="H8" s="35" t="str">
        <x:v>Revisit on margin normalization</x:v>
      </x:c>
    </x:row>
    <x:row r="9">
      <x:c r="A9" s="34" t="str">
        <x:v>Net cash</x:v>
      </x:c>
      <x:c r="B9" s="35" t="str">
        <x:v>Balance sheet</x:v>
      </x:c>
      <x:c r="C9" s="35" t="str"/>
      <x:c r="D9" s="35" t="str"/>
      <x:c r="E9" s="35" t="str">
        <x:v>KRW bn</x:v>
      </x:c>
      <x:c r="F9" s="35" t="str">
        <x:v>Reported</x:v>
      </x:c>
      <x:c r="G9" s="35" t="str">
        <x:v>Analyst</x:v>
      </x:c>
      <x:c r="H9" s="35" t="str">
        <x:v>Quarterly update</x:v>
      </x:c>
    </x:row>
    <x:row r="10">
      <x:c r="A10" s="34" t="str">
        <x:v>Shares</x:v>
      </x:c>
      <x:c r="B10" s="35" t="str">
        <x:v>Filing</x:v>
      </x:c>
      <x:c r="C10" s="35" t="str"/>
      <x:c r="D10" s="35" t="str"/>
      <x:c r="E10" s="35" t="str">
        <x:v>mn</x:v>
      </x:c>
      <x:c r="F10" s="35" t="str">
        <x:v>Reported</x:v>
      </x:c>
      <x:c r="G10" s="35" t="str">
        <x:v>Analyst</x:v>
      </x:c>
      <x:c r="H10" s="35" t="str">
        <x:v>Capital action</x:v>
      </x:c>
    </x:row>
  </x:sheetData>
  <x:mergeCells>
    <x:mergeCell ref="A1:H1"/>
    <x:mergeCell ref="A2:H2"/>
  </x:mergeCells>
  <x:pageMargins left="0.7" right="0.7" top="0.75" bottom="0.75" header="0.3" footer="0.3"/>
</x:worksheet>
</file>