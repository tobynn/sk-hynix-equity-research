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8c0b7722f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5789c6901848b7"/>
    <x:sheet xmlns:r="http://schemas.openxmlformats.org/officeDocument/2006/relationships" name="Actuals &amp; Sources" sheetId="2" r:id="Rdc731b14ddf342c8"/>
    <x:sheet xmlns:r="http://schemas.openxmlformats.org/officeDocument/2006/relationships" name="Forecast" sheetId="3" r:id="R8a7265b74b964501"/>
    <x:sheet xmlns:r="http://schemas.openxmlformats.org/officeDocument/2006/relationships" name="HBM Build" sheetId="4" r:id="R5632eb0b2d564288"/>
    <x:sheet xmlns:r="http://schemas.openxmlformats.org/officeDocument/2006/relationships" name="SOTP" sheetId="5" r:id="R0d5be5fdfafe4c17"/>
    <x:sheet xmlns:r="http://schemas.openxmlformats.org/officeDocument/2006/relationships" name="DCF" sheetId="6" r:id="R6ddf0898c0dc4834"/>
    <x:sheet xmlns:r="http://schemas.openxmlformats.org/officeDocument/2006/relationships" name="RIM" sheetId="7" r:id="R3d4d9981063e49d1"/>
    <x:sheet xmlns:r="http://schemas.openxmlformats.org/officeDocument/2006/relationships" name="Peer PER" sheetId="8" r:id="Rba9459651eec45d6"/>
    <x:sheet xmlns:r="http://schemas.openxmlformats.org/officeDocument/2006/relationships" name="Audit" sheetId="9" r:id="Rc04a22317853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x"/>
  </x:numFmts>
  <x:fonts count="10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color rgb="FF0000FF"/>
      <x:name val="Aptos"/>
    </x:font>
    <x:font>
      <x:b/>
      <x:sz val="11"/>
      <x:color rgb="FFFFFFFF"/>
      <x:name val="Aptos"/>
    </x:font>
    <x:font>
      <x:sz val="11"/>
      <x:color rgb="FF008000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0"/>
      <x:color rgb="FFFFFFFF"/>
      <x:name val="Arial"/>
    </x:font>
    <x:font>
      <x:sz val="10"/>
      <x:color rgb="FF333333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17324D"/>
      </x:patternFill>
    </x:fill>
    <x:fill>
      <x:patternFill patternType="solid">
        <x:fgColor rgb="FF0F766E"/>
      </x:patternFill>
    </x:fill>
  </x:fills>
  <x:borders count="10">
    <x:border>
      <x:left/>
      <x:right/>
      <x:top/>
      <x:bottom/>
      <x:diagonal/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  <x:diagonal/>
    </x:border>
    <x:border>
      <x:left style="thin">
        <x:color rgb="FFC8D2DC"/>
      </x:left>
      <x:right/>
      <x:top style="thin">
        <x:color rgb="FFC8D2DC"/>
      </x:top>
      <x:bottom/>
      <x:diagonal/>
    </x:border>
    <x:border>
      <x:left/>
      <x:right/>
      <x:top style="thin">
        <x:color rgb="FFC8D2DC"/>
      </x:top>
      <x:bottom/>
      <x:diagonal/>
    </x:border>
    <x:border>
      <x:left/>
      <x:right style="thin">
        <x:color rgb="FFC8D2DC"/>
      </x:right>
      <x:top style="thin">
        <x:color rgb="FFC8D2DC"/>
      </x:top>
      <x:bottom/>
      <x:diagonal/>
    </x:border>
    <x:border>
      <x:left style="thin">
        <x:color rgb="FFC8D2DC"/>
      </x:left>
      <x:right/>
      <x:top/>
      <x:bottom/>
      <x:diagonal/>
    </x:border>
    <x:border>
      <x:left/>
      <x:right style="thin">
        <x:color rgb="FFC8D2DC"/>
      </x:right>
      <x:top/>
      <x:bottom/>
      <x:diagonal/>
    </x:border>
    <x:border>
      <x:left style="thin">
        <x:color rgb="FFC8D2DC"/>
      </x:left>
      <x:right/>
      <x:top/>
      <x:bottom style="thin">
        <x:color rgb="FFC8D2DC"/>
      </x:bottom>
      <x:diagonal/>
    </x:border>
    <x:border>
      <x:left/>
      <x:right/>
      <x:top/>
      <x:bottom style="thin">
        <x:color rgb="FFC8D2DC"/>
      </x:bottom>
      <x:diagonal/>
    </x:border>
    <x:border>
      <x:left/>
      <x:right style="thin">
        <x:color rgb="FFC8D2DC"/>
      </x:right>
      <x:top/>
      <x:bottom style="thin">
        <x:color rgb="FFC8D2DC"/>
      </x:bottom>
      <x:diagonal/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1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6" fillId="6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2" fontId="6" fillId="6" borderId="1" xfId="0" applyNumberFormat="1" applyFont="1" applyFill="1" applyBorder="1"/>
    <x:xf numFmtId="202" fontId="6" fillId="6" borderId="1" xfId="0" applyNumberFormat="1" applyFont="1" applyFill="1" applyBorder="1" applyAlignment="1">
      <x:alignment wrapText="1"/>
    </x:xf>
    <x:xf numFmtId="202" fontId="3" fillId="4" borderId="1" xfId="0" applyNumberFormat="1" applyFont="1" applyFill="1" applyBorder="1"/>
    <x:xf numFmtId="202" fontId="3" fillId="6" borderId="1" xfId="0" applyNumberFormat="1" applyFont="1" applyFill="1" applyBorder="1"/>
    <x:xf numFmtId="200" fontId="6" fillId="6" borderId="1" xfId="0" applyNumberFormat="1" applyFont="1" applyFill="1" applyBorder="1"/>
    <x:xf numFmtId="202" fontId="5" fillId="0" borderId="1" xfId="0" applyNumberFormat="1" applyFont="1" applyFill="1" applyBorder="1"/>
    <x:xf numFmtId="201" fontId="5" fillId="0" borderId="1" xfId="0" applyNumberFormat="1" applyFont="1" applyFill="1" applyBorder="1"/>
    <x:xf numFmtId="201" fontId="3" fillId="4" borderId="1" xfId="0" applyNumberFormat="1" applyFont="1" applyFill="1" applyBorder="1"/>
    <x:xf numFmtId="202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/>
    <x:xf numFmtId="203" fontId="6" fillId="6" borderId="1" xfId="0" applyNumberFormat="1" applyFont="1" applyFill="1" applyBorder="1"/>
    <x:xf numFmtId="203" fontId="3" fillId="4" borderId="1" xfId="0" applyNumberFormat="1" applyFont="1" applyFill="1" applyBorder="1" applyAlignment="1">
      <x:alignment wrapText="1"/>
    </x:xf>
    <x:xf numFmtId="203" fontId="6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wrapText="1"/>
    </x:xf>
    <x:xf numFmtId="0" fontId="8" fillId="10" borderId="3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0" fontId="8" fillId="12" borderId="2" xfId="0" applyNumberFormat="1" applyFont="1" applyFill="1" applyBorder="1" applyAlignment="1">
      <x:alignment wrapText="1"/>
    </x:xf>
    <x:xf numFmtId="0" fontId="8" fillId="12" borderId="3" xfId="0" applyNumberFormat="1" applyFont="1" applyFill="1" applyBorder="1" applyAlignment="1">
      <x:alignment wrapText="1"/>
    </x:xf>
    <x:xf numFmtId="0" fontId="8" fillId="12" borderId="4" xfId="0" applyNumberFormat="1" applyFont="1" applyFill="1" applyBorder="1" applyAlignment="1">
      <x:alignment wrapText="1"/>
    </x:xf>
    <x:xf numFmtId="0" fontId="8" fillId="12" borderId="5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6" xfId="0" applyNumberFormat="1" applyFont="1" applyFill="1" applyBorder="1" applyAlignment="1">
      <x:alignment wrapText="1"/>
    </x:xf>
    <x:xf numFmtId="0" fontId="8" fillId="13" borderId="0" xfId="0" applyNumberFormat="1" applyFont="1" applyFill="1" applyBorder="1"/>
    <x:xf numFmtId="0" fontId="8" fillId="13" borderId="5" xfId="0" applyNumberFormat="1" applyFont="1" applyFill="1" applyBorder="1"/>
    <x:xf numFmtId="0" fontId="8" fillId="13" borderId="6" xfId="0" applyNumberFormat="1" applyFont="1" applyFill="1" applyBorder="1"/>
    <x:xf numFmtId="0" fontId="8" fillId="14" borderId="2" xfId="0" applyNumberFormat="1" applyFont="1" applyFill="1" applyBorder="1" applyAlignment="1">
      <x:alignment wrapText="1"/>
    </x:xf>
    <x:xf numFmtId="0" fontId="8" fillId="14" borderId="3" xfId="0" applyNumberFormat="1" applyFont="1" applyFill="1" applyBorder="1" applyAlignment="1">
      <x:alignment wrapText="1"/>
    </x:xf>
    <x:xf numFmtId="0" fontId="8" fillId="14" borderId="4" xfId="0" applyNumberFormat="1" applyFont="1" applyFill="1" applyBorder="1" applyAlignment="1">
      <x:alignment wrapText="1"/>
    </x:xf>
    <x:xf numFmtId="0" fontId="8" fillId="14" borderId="5" xfId="0" applyNumberFormat="1" applyFont="1" applyFill="1" applyBorder="1" applyAlignment="1">
      <x:alignment wrapText="1"/>
    </x:xf>
    <x:xf numFmtId="0" fontId="8" fillId="14" borderId="0" xfId="0" applyNumberFormat="1" applyFont="1" applyFill="1" applyBorder="1" applyAlignment="1">
      <x:alignment wrapText="1"/>
    </x:xf>
    <x:xf numFmtId="0" fontId="8" fillId="1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fa8ea31c0481a" /><Relationship Type="http://schemas.openxmlformats.org/officeDocument/2006/relationships/theme" Target="/xl/theme/theme1.xml" Id="R85bde3c2b61e4169" /><Relationship Type="http://schemas.openxmlformats.org/officeDocument/2006/relationships/sharedStrings" Target="/xl/sharedStrings.xml" Id="R248454bded584936" /><Relationship Type="http://schemas.openxmlformats.org/officeDocument/2006/relationships/worksheet" Target="/xl/worksheets/sheet1.xml" Id="R985789c6901848b7" /><Relationship Type="http://schemas.openxmlformats.org/officeDocument/2006/relationships/worksheet" Target="/xl/worksheets/sheet2.xml" Id="Rdc731b14ddf342c8" /><Relationship Type="http://schemas.openxmlformats.org/officeDocument/2006/relationships/worksheet" Target="/xl/worksheets/sheet3.xml" Id="R8a7265b74b964501" /><Relationship Type="http://schemas.openxmlformats.org/officeDocument/2006/relationships/worksheet" Target="/xl/worksheets/sheet4.xml" Id="R5632eb0b2d564288" /><Relationship Type="http://schemas.openxmlformats.org/officeDocument/2006/relationships/worksheet" Target="/xl/worksheets/sheet5.xml" Id="R0d5be5fdfafe4c17" /><Relationship Type="http://schemas.openxmlformats.org/officeDocument/2006/relationships/worksheet" Target="/xl/worksheets/sheet6.xml" Id="R6ddf0898c0dc4834" /><Relationship Type="http://schemas.openxmlformats.org/officeDocument/2006/relationships/worksheet" Target="/xl/worksheets/sheet7.xml" Id="R3d4d9981063e49d1" /><Relationship Type="http://schemas.openxmlformats.org/officeDocument/2006/relationships/worksheet" Target="/xl/worksheets/sheet8.xml" Id="Rba9459651eec45d6" /><Relationship Type="http://schemas.openxmlformats.org/officeDocument/2006/relationships/worksheet" Target="/xl/worksheets/sheet9.xml" Id="Rc04a22317853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4" hidden="0" customWidth="1"/>
  </x:cols>
  <x:sheetData>
    <x:row r="1" ht="30" customHeight="1">
      <x:c r="A1" s="3" t="str">
        <x:v>SK hynix Equity Research - Final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As of 2026-10-07 | KRW bn unless stated | Education / portfolio use only</x:v>
      </x:c>
      <x:c r="B2" s="6"/>
      <x:c r="C2" s="6"/>
      <x:c r="D2" s="6"/>
      <x:c r="E2" s="6"/>
      <x:c r="F2" s="6"/>
      <x:c r="G2" s="6"/>
      <x:c r="H2" s="6"/>
    </x:row>
    <x:row r="4">
      <x:c r="A4" t="str">
        <x:v>Selected Case</x:v>
      </x:c>
      <x:c r="B4" s="9" t="str">
        <x:v>Base</x:v>
      </x:c>
    </x:row>
    <x:row r="6">
      <x:c r="A6" s="15" t="str">
        <x:v>Headline</x:v>
      </x:c>
      <x:c r="B6" s="15" t="str">
        <x:v>Value</x:v>
      </x:c>
      <x:c r="C6" s="15" t="str">
        <x:v>Method / status</x:v>
      </x:c>
      <x:c r="D6" s="15" t="str">
        <x:v>Base interpretation</x:v>
      </x:c>
      <x:c r="E6" s="15" t="str">
        <x:v>Update trigger</x:v>
      </x:c>
    </x:row>
    <x:row r="7">
      <x:c r="A7" s="27" t="str">
        <x:v>Closing price</x:v>
      </x:c>
      <x:c r="B7" s="28" t="n">
        <x:v>1723000</x:v>
      </x:c>
      <x:c r="C7" s="27" t="str">
        <x:v>2026-10-07 close</x:v>
      </x:c>
      <x:c r="D7" s="27" t="str">
        <x:v>Price only</x:v>
      </x:c>
      <x:c r="E7" s="27" t="str">
        <x:v>Price moves daily</x:v>
      </x:c>
    </x:row>
    <x:row r="8">
      <x:c r="A8" s="27" t="str">
        <x:v>SOTP central value</x:v>
      </x:c>
      <x:c r="B8" s="29" t="n">
        <x:f>'SOTP'!B16</x:f>
        <x:v>2138571.4285714286</x:v>
      </x:c>
      <x:c r="C8" s="27" t="str">
        <x:v>Primary valuation</x:v>
      </x:c>
      <x:c r="D8" s="27" t="str">
        <x:v>Segment economics differ</x:v>
      </x:c>
      <x:c r="E8" s="27" t="str">
        <x:v>HBM mix / DRAM cycle</x:v>
      </x:c>
    </x:row>
    <x:row r="9">
      <x:c r="A9" s="27" t="str">
        <x:v>DCF cross-check</x:v>
      </x:c>
      <x:c r="B9" s="29" t="n">
        <x:f>'DCF'!B26</x:f>
        <x:v>1678520.4046073235</x:v>
      </x:c>
      <x:c r="C9" s="27" t="str">
        <x:v>Cash flow check</x:v>
      </x:c>
      <x:c r="D9" s="27" t="str">
        <x:v>CAPEX / working capital</x:v>
      </x:c>
      <x:c r="E9" s="27" t="str">
        <x:v>FCF conversion</x:v>
      </x:c>
    </x:row>
    <x:row r="10">
      <x:c r="A10" s="27" t="str">
        <x:v>Cycle-adjusted PER</x:v>
      </x:c>
      <x:c r="B10" s="29" t="n">
        <x:f>'Peer PER'!B27</x:f>
        <x:v>1828571.4285714286</x:v>
      </x:c>
      <x:c r="C10" s="27" t="str">
        <x:v>Market cross-check</x:v>
      </x:c>
      <x:c r="D10" s="27" t="str">
        <x:v>Micron anchor; no peer average</x:v>
      </x:c>
      <x:c r="E10" s="27" t="str">
        <x:v>Normalised EPS / multiple</x:v>
      </x:c>
    </x:row>
    <x:row r="11">
      <x:c r="A11" s="27" t="str">
        <x:v>RIM downside</x:v>
      </x:c>
      <x:c r="B11" s="29" t="n">
        <x:f>'RIM'!B22</x:f>
        <x:v>857492.1461555915</x:v>
      </x:c>
      <x:c r="C11" s="27" t="str">
        <x:v>Downside check</x:v>
      </x:c>
      <x:c r="D11" s="27" t="str">
        <x:v>Residual income fades</x:v>
      </x:c>
      <x:c r="E11" s="27" t="str">
        <x:v>ROE normalisation</x:v>
      </x:c>
    </x:row>
    <x:row r="12">
      <x:c r="A12" s="27" t="str">
        <x:v>Base upside</x:v>
      </x:c>
      <x:c r="B12" s="30" t="n">
        <x:f>B8/B7-1</x:f>
        <x:v>0.24119061437691736</x:v>
      </x:c>
      <x:c r="C12" s="27" t="str">
        <x:v>Base SOTP vs price</x:v>
      </x:c>
      <x:c r="D12" s="27" t="str">
        <x:v>Not a mechanical average</x:v>
      </x:c>
      <x:c r="E12" s="27" t="str">
        <x:v>All model outputs</x:v>
      </x:c>
    </x:row>
    <x:row r="13">
      <x:c r="A13" s="27" t="str">
        <x:v>Conclusion</x:v>
      </x:c>
      <x:c r="B13" s="31" t="str">
        <x:v>SOTP base 2,139,000 KRW/share</x:v>
      </x:c>
      <x:c r="C13" s="27" t="str">
        <x:v>Portfolio conclusion</x:v>
      </x:c>
      <x:c r="D13" s="27" t="str">
        <x:v>SOTP adopted as center value</x:v>
      </x:c>
      <x:c r="E13" s="27" t="str">
        <x:v>Quarterly results / peer data</x:v>
      </x:c>
    </x:row>
    <x:row r="16">
      <x:c r="A16" s="33" t="str">
        <x:v>Model hierarchy</x:v>
      </x:c>
      <x:c r="B16" s="33"/>
      <x:c r="C16" s="33"/>
      <x:c r="D16" s="33"/>
      <x:c r="E16" s="33"/>
      <x:c r="F16" s="33"/>
      <x:c r="G16" s="33"/>
      <x:c r="H16" s="33"/>
    </x:row>
    <x:row r="17">
      <x:c r="A17" s="15" t="str">
        <x:v>Model</x:v>
      </x:c>
      <x:c r="B17" s="15" t="str">
        <x:v>Role</x:v>
      </x:c>
      <x:c r="C17" s="15" t="str">
        <x:v>Why it is used</x:v>
      </x:c>
      <x:c r="D17" s="15" t="str">
        <x:v>Why it is not the final answer</x:v>
      </x:c>
      <x:c r="E17" s="15" t="str">
        <x:v>Weight</x:v>
      </x:c>
    </x:row>
    <x:row r="18">
      <x:c r="A18" s="35" t="str">
        <x:v>SOTP</x:v>
      </x:c>
      <x:c r="B18" s="35" t="str">
        <x:v>Center value</x:v>
      </x:c>
      <x:c r="C18" s="35" t="str">
        <x:v>Separates HBM/AI DRAM, conventional DRAM, NAND</x:v>
      </x:c>
      <x:c r="D18" s="35" t="str">
        <x:v>Multiple assumptions need peer checks</x:v>
      </x:c>
      <x:c r="E18" s="35" t="str">
        <x:v>Primary</x:v>
      </x:c>
    </x:row>
    <x:row r="19">
      <x:c r="A19" s="35" t="str">
        <x:v>DCF</x:v>
      </x:c>
      <x:c r="B19" s="35" t="str">
        <x:v>Cash-flow check</x:v>
      </x:c>
      <x:c r="C19" s="35" t="str">
        <x:v>Tests CAPEX and working-capital burden</x:v>
      </x:c>
      <x:c r="D19" s="35" t="str">
        <x:v>Terminal value is sensitive</x:v>
      </x:c>
      <x:c r="E19" s="35" t="str">
        <x:v>Cross-check</x:v>
      </x:c>
    </x:row>
    <x:row r="20">
      <x:c r="A20" s="35" t="str">
        <x:v>Peer PER</x:v>
      </x:c>
      <x:c r="B20" s="35" t="str">
        <x:v>Market check</x:v>
      </x:c>
      <x:c r="C20" s="35" t="str">
        <x:v>Uses Micron as the only direct economics anchor</x:v>
      </x:c>
      <x:c r="D20" s="35" t="str">
        <x:v>Cycle EPS must be normalised</x:v>
      </x:c>
      <x:c r="E20" s="35" t="str">
        <x:v>Cross-check</x:v>
      </x:c>
    </x:row>
    <x:row r="21">
      <x:c r="A21" s="35" t="str">
        <x:v>RIM</x:v>
      </x:c>
      <x:c r="B21" s="35" t="str">
        <x:v>Downside check</x:v>
      </x:c>
      <x:c r="C21" s="35" t="str">
        <x:v>Makes cost of equity and ROE fade explicit</x:v>
      </x:c>
      <x:c r="D21" s="35" t="str">
        <x:v>Book-value growth is fast in current cycle</x:v>
      </x:c>
      <x:c r="E21" s="35" t="str">
        <x:v>Downside</x:v>
      </x:c>
    </x:row>
  </x:sheetData>
  <x:mergeCells>
    <x:mergeCell ref="A1:H1"/>
    <x:mergeCell ref="A2:H2"/>
    <x:mergeCell ref="A16:H16"/>
  </x:mergeCells>
  <x:dataValidations count="1">
    <x:dataValidation type="list" sqref="B4">
      <x:formula1>"Base,Bull,Bear"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0" customHeight="1">
      <x:c r="A1" s="3" t="str">
        <x:v>Actuals &amp; Sources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Hardcoded actuals are reported data; yellow cells are analyst forecasts or market inputs.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Category</x:v>
      </x:c>
      <x:c r="B4" s="15" t="str">
        <x:v>Metric</x:v>
      </x:c>
      <x:c r="C4" s="15" t="str">
        <x:v>Period</x:v>
      </x:c>
      <x:c r="D4" s="15" t="str">
        <x:v>Value</x:v>
      </x:c>
      <x:c r="E4" s="15" t="str">
        <x:v>Unit</x:v>
      </x:c>
      <x:c r="F4" s="15" t="str">
        <x:v>As of</x:v>
      </x:c>
      <x:c r="G4" s="15" t="str">
        <x:v>Source</x:v>
      </x:c>
      <x:c r="H4" s="15" t="str">
        <x:v>Note</x:v>
      </x:c>
    </x:row>
    <x:row r="5">
      <x:c r="A5" s="27" t="str">
        <x:v>Actual</x:v>
      </x:c>
      <x:c r="B5" s="27" t="str">
        <x:v>Revenue</x:v>
      </x:c>
      <x:c r="C5" s="27" t="str">
        <x:v>FY2025</x:v>
      </x:c>
      <x:c r="D5" s="37" t="n">
        <x:v>97146.7</x:v>
      </x:c>
      <x:c r="E5" s="27" t="str">
        <x:v>KRW bn</x:v>
      </x:c>
      <x:c r="F5" s="27" t="str">
        <x:v>2026-01-28</x:v>
      </x:c>
      <x:c r="G5" s="27" t="str">
        <x:v>SK hynix FY25 results</x:v>
      </x:c>
      <x:c r="H5" s="27" t="str">
        <x:v>Consolidated K-IFRS</x:v>
      </x:c>
    </x:row>
    <x:row r="6">
      <x:c r="A6" s="27" t="str">
        <x:v>Actual</x:v>
      </x:c>
      <x:c r="B6" s="27" t="str">
        <x:v>Operating profit</x:v>
      </x:c>
      <x:c r="C6" s="27" t="str">
        <x:v>FY2025</x:v>
      </x:c>
      <x:c r="D6" s="37" t="n">
        <x:v>47206.3</x:v>
      </x:c>
      <x:c r="E6" s="27" t="str">
        <x:v>KRW bn</x:v>
      </x:c>
      <x:c r="F6" s="27" t="str">
        <x:v>2026-01-28</x:v>
      </x:c>
      <x:c r="G6" s="27" t="str">
        <x:v>SK hynix FY25 results</x:v>
      </x:c>
      <x:c r="H6" s="27" t="str">
        <x:v>Consolidated K-IFRS</x:v>
      </x:c>
    </x:row>
    <x:row r="7">
      <x:c r="A7" s="27" t="str">
        <x:v>Actual</x:v>
      </x:c>
      <x:c r="B7" s="27" t="str">
        <x:v>Net income</x:v>
      </x:c>
      <x:c r="C7" s="27" t="str">
        <x:v>FY2025</x:v>
      </x:c>
      <x:c r="D7" s="37" t="n">
        <x:v>42947.9</x:v>
      </x:c>
      <x:c r="E7" s="27" t="str">
        <x:v>KRW bn</x:v>
      </x:c>
      <x:c r="F7" s="27" t="str">
        <x:v>2026-01-28</x:v>
      </x:c>
      <x:c r="G7" s="27" t="str">
        <x:v>SK hynix FY25 results</x:v>
      </x:c>
      <x:c r="H7" s="27" t="str">
        <x:v>Consolidated K-IFRS</x:v>
      </x:c>
    </x:row>
    <x:row r="8">
      <x:c r="A8" s="27" t="str">
        <x:v>Actual</x:v>
      </x:c>
      <x:c r="B8" s="27" t="str">
        <x:v>Revenue</x:v>
      </x:c>
      <x:c r="C8" s="27" t="str">
        <x:v>1Q2026</x:v>
      </x:c>
      <x:c r="D8" s="37" t="n">
        <x:v>52576.3</x:v>
      </x:c>
      <x:c r="E8" s="27" t="str">
        <x:v>KRW bn</x:v>
      </x:c>
      <x:c r="F8" s="27" t="str">
        <x:v>2026-04-22</x:v>
      </x:c>
      <x:c r="G8" s="27" t="str">
        <x:v>SK hynix 1Q26 results</x:v>
      </x:c>
      <x:c r="H8" s="27" t="str">
        <x:v>Consolidated K-IFRS</x:v>
      </x:c>
    </x:row>
    <x:row r="9">
      <x:c r="A9" s="27" t="str">
        <x:v>Actual</x:v>
      </x:c>
      <x:c r="B9" s="27" t="str">
        <x:v>Operating profit</x:v>
      </x:c>
      <x:c r="C9" s="27" t="str">
        <x:v>1Q2026</x:v>
      </x:c>
      <x:c r="D9" s="37" t="n">
        <x:v>37610.3</x:v>
      </x:c>
      <x:c r="E9" s="27" t="str">
        <x:v>KRW bn</x:v>
      </x:c>
      <x:c r="F9" s="27" t="str">
        <x:v>2026-04-22</x:v>
      </x:c>
      <x:c r="G9" s="27" t="str">
        <x:v>SK hynix 1Q26 results</x:v>
      </x:c>
      <x:c r="H9" s="27" t="str">
        <x:v>Consolidated K-IFRS</x:v>
      </x:c>
    </x:row>
    <x:row r="10">
      <x:c r="A10" s="27" t="str">
        <x:v>Actual</x:v>
      </x:c>
      <x:c r="B10" s="27" t="str">
        <x:v>Net income</x:v>
      </x:c>
      <x:c r="C10" s="27" t="str">
        <x:v>1Q2026</x:v>
      </x:c>
      <x:c r="D10" s="37" t="n">
        <x:v>40345.9</x:v>
      </x:c>
      <x:c r="E10" s="27" t="str">
        <x:v>KRW bn</x:v>
      </x:c>
      <x:c r="F10" s="27" t="str">
        <x:v>2026-04-22</x:v>
      </x:c>
      <x:c r="G10" s="27" t="str">
        <x:v>SK hynix 1Q26 results</x:v>
      </x:c>
      <x:c r="H10" s="27" t="str">
        <x:v>Consolidated K-IFRS</x:v>
      </x:c>
    </x:row>
    <x:row r="11">
      <x:c r="A11" s="27" t="str">
        <x:v>Actual</x:v>
      </x:c>
      <x:c r="B11" s="27" t="str">
        <x:v>Revenue</x:v>
      </x:c>
      <x:c r="C11" s="27" t="str">
        <x:v>2Q2026</x:v>
      </x:c>
      <x:c r="D11" s="37" t="n">
        <x:v>79318.7</x:v>
      </x:c>
      <x:c r="E11" s="27" t="str">
        <x:v>KRW bn</x:v>
      </x:c>
      <x:c r="F11" s="27" t="str">
        <x:v>2026-07-29</x:v>
      </x:c>
      <x:c r="G11" s="27" t="str">
        <x:v>SK hynix 2Q26 results</x:v>
      </x:c>
      <x:c r="H11" s="27" t="str">
        <x:v>Consolidated K-IFRS</x:v>
      </x:c>
    </x:row>
    <x:row r="12">
      <x:c r="A12" s="27" t="str">
        <x:v>Actual</x:v>
      </x:c>
      <x:c r="B12" s="27" t="str">
        <x:v>Operating profit</x:v>
      </x:c>
      <x:c r="C12" s="27" t="str">
        <x:v>2Q2026</x:v>
      </x:c>
      <x:c r="D12" s="37" t="n">
        <x:v>60542.6</x:v>
      </x:c>
      <x:c r="E12" s="27" t="str">
        <x:v>KRW bn</x:v>
      </x:c>
      <x:c r="F12" s="27" t="str">
        <x:v>2026-07-29</x:v>
      </x:c>
      <x:c r="G12" s="27" t="str">
        <x:v>SK hynix 2Q26 results</x:v>
      </x:c>
      <x:c r="H12" s="27" t="str">
        <x:v>Consolidated K-IFRS</x:v>
      </x:c>
    </x:row>
    <x:row r="13">
      <x:c r="A13" s="27" t="str">
        <x:v>Actual</x:v>
      </x:c>
      <x:c r="B13" s="27" t="str">
        <x:v>Net income</x:v>
      </x:c>
      <x:c r="C13" s="27" t="str">
        <x:v>2Q2026</x:v>
      </x:c>
      <x:c r="D13" s="37" t="n">
        <x:v>93922.6</x:v>
      </x:c>
      <x:c r="E13" s="27" t="str">
        <x:v>KRW bn</x:v>
      </x:c>
      <x:c r="F13" s="27" t="str">
        <x:v>2026-07-29</x:v>
      </x:c>
      <x:c r="G13" s="27" t="str">
        <x:v>SK hynix 2Q26 results</x:v>
      </x:c>
      <x:c r="H13" s="27" t="str">
        <x:v>Consolidated K-IFRS</x:v>
      </x:c>
    </x:row>
    <x:row r="14">
      <x:c r="A14" s="27" t="str">
        <x:v>Actual</x:v>
      </x:c>
      <x:c r="B14" s="27" t="str">
        <x:v>Cash &amp; cash equivalents</x:v>
      </x:c>
      <x:c r="C14" s="27" t="str">
        <x:v>2Q2026</x:v>
      </x:c>
      <x:c r="D14" s="37" t="n">
        <x:v>88000</x:v>
      </x:c>
      <x:c r="E14" s="27" t="str">
        <x:v>KRW bn</x:v>
      </x:c>
      <x:c r="F14" s="27" t="str">
        <x:v>2026-07-29</x:v>
      </x:c>
      <x:c r="G14" s="27" t="str">
        <x:v>SK hynix 2Q26 results</x:v>
      </x:c>
      <x:c r="H14" s="27" t="str">
        <x:v>Rounded company disclosure</x:v>
      </x:c>
    </x:row>
    <x:row r="15">
      <x:c r="A15" s="27" t="str">
        <x:v>Actual</x:v>
      </x:c>
      <x:c r="B15" s="27" t="str">
        <x:v>Total debt</x:v>
      </x:c>
      <x:c r="C15" s="27" t="str">
        <x:v>2Q2026</x:v>
      </x:c>
      <x:c r="D15" s="37" t="n">
        <x:v>18600</x:v>
      </x:c>
      <x:c r="E15" s="27" t="str">
        <x:v>KRW bn</x:v>
      </x:c>
      <x:c r="F15" s="27" t="str">
        <x:v>2026-07-29</x:v>
      </x:c>
      <x:c r="G15" s="27" t="str">
        <x:v>SK hynix 2Q26 results</x:v>
      </x:c>
      <x:c r="H15" s="27" t="str">
        <x:v>Rounded company disclosure</x:v>
      </x:c>
    </x:row>
    <x:row r="16">
      <x:c r="A16" s="27" t="str">
        <x:v>Actual</x:v>
      </x:c>
      <x:c r="B16" s="27" t="str">
        <x:v>Net cash</x:v>
      </x:c>
      <x:c r="C16" s="27" t="str">
        <x:v>2Q2026</x:v>
      </x:c>
      <x:c r="D16" s="37" t="n">
        <x:v>69400</x:v>
      </x:c>
      <x:c r="E16" s="27" t="str">
        <x:v>KRW bn</x:v>
      </x:c>
      <x:c r="F16" s="27" t="str">
        <x:v>2026-07-29</x:v>
      </x:c>
      <x:c r="G16" s="27" t="str">
        <x:v>SK hynix 2Q26 results</x:v>
      </x:c>
      <x:c r="H16" s="27" t="str">
        <x:v>Rounded company disclosure</x:v>
      </x:c>
    </x:row>
    <x:row r="17">
      <x:c r="A17" s="27" t="str">
        <x:v>Market</x:v>
      </x:c>
      <x:c r="B17" s="27" t="str">
        <x:v>Closing price</x:v>
      </x:c>
      <x:c r="C17" s="27" t="str">
        <x:v>2026-10-07</x:v>
      </x:c>
      <x:c r="D17" s="37" t="n">
        <x:v>1723000</x:v>
      </x:c>
      <x:c r="E17" s="27" t="str">
        <x:v>KRW/share</x:v>
      </x:c>
      <x:c r="F17" s="27" t="str">
        <x:v>2026-10-07</x:v>
      </x:c>
      <x:c r="G17" s="27" t="str">
        <x:v>StockAnalysis KRX 000660 history</x:v>
      </x:c>
      <x:c r="H17" s="27" t="str">
        <x:v>Close</x:v>
      </x:c>
    </x:row>
    <x:row r="20">
      <x:c r="A20" s="33" t="str">
        <x:v>Source links</x:v>
      </x:c>
      <x:c r="B20" s="33"/>
      <x:c r="C20" s="33"/>
      <x:c r="D20" s="33"/>
      <x:c r="E20" s="33"/>
      <x:c r="F20" s="33"/>
      <x:c r="G20" s="33"/>
      <x:c r="H20" s="33"/>
    </x:row>
    <x:row r="21">
      <x:c r="A21" s="15" t="str">
        <x:v>SK hynix FY25</x:v>
      </x:c>
      <x:c r="B21" s="15" t="str">
        <x:v>https://news.skhynix.com/en/sk-hynix-announces-fy25-financial-results/</x:v>
      </x:c>
    </x:row>
    <x:row r="22">
      <x:c r="A22" s="35" t="str">
        <x:v>SK hynix 2Q26</x:v>
      </x:c>
      <x:c r="B22" s="35" t="str">
        <x:v>https://news.skhynix.com/en/q2-2026-business-results/</x:v>
      </x:c>
    </x:row>
    <x:row r="23">
      <x:c r="A23" s="35" t="str">
        <x:v>DART half-year report</x:v>
      </x:c>
      <x:c r="B23" s="35" t="str">
        <x:v>https://opendart.fss.or.kr/xbrl/viewer/main.do?lang=en&amp;rcpNo=20260814003509</x:v>
      </x:c>
    </x:row>
    <x:row r="24">
      <x:c r="A24" s="35" t="str">
        <x:v>Micron results</x:v>
      </x:c>
      <x:c r="B24" s="35" t="str">
        <x:v>https://investors.micron.com/events-and-presentations/default.aspx</x:v>
      </x:c>
    </x:row>
    <x:row r="25">
      <x:c r="A25" s="35" t="str">
        <x:v>Price history</x:v>
      </x:c>
      <x:c r="B25" s="35" t="str">
        <x:v>https://stockanalysis.com/quote/krx/000660/history/</x:v>
      </x:c>
    </x:row>
    <x:row r="27">
      <x:c r="A27" s="82" t="str">
        <x:v>Valuation vintage controls</x:v>
      </x:c>
      <x:c r="B27" s="82"/>
      <x:c r="C27" s="82"/>
      <x:c r="D27" s="82"/>
      <x:c r="E27" s="82"/>
      <x:c r="F27" s="82"/>
      <x:c r="G27" s="82"/>
      <x:c r="H27" s="82"/>
    </x:row>
    <x:row r="28">
      <x:c r="A28" s="85" t="str">
        <x:v>Control</x:v>
      </x:c>
      <x:c r="B28" s="86" t="str">
        <x:v>Value</x:v>
      </x:c>
      <x:c r="C28" s="86" t="str">
        <x:v>Definition</x:v>
      </x:c>
      <x:c r="D28" s="86" t="str">
        <x:v>Source / owner</x:v>
      </x:c>
      <x:c r="E28" s="86" t="str">
        <x:v>Data status</x:v>
      </x:c>
      <x:c r="F28" s="86" t="str">
        <x:v>Refresh event</x:v>
      </x:c>
      <x:c r="G28" s="86" t="str">
        <x:v>Model use</x:v>
      </x:c>
      <x:c r="H28" s="87" t="str">
        <x:v>Notes</x:v>
      </x:c>
    </x:row>
    <x:row r="29" ht="15" hidden="0" customHeight="1">
      <x:c r="A29" s="61" t="str">
        <x:v>Valuation as-of</x:v>
      </x:c>
      <x:c r="B29" s="57" t="str">
        <x:v>2026-10-07</x:v>
      </x:c>
      <x:c r="C29" s="57" t="str">
        <x:v>KRX closing price date</x:v>
      </x:c>
      <x:c r="D29" s="57" t="str">
        <x:v>KRX / market data</x:v>
      </x:c>
      <x:c r="E29" s="57" t="str">
        <x:v>Model vintage</x:v>
      </x:c>
      <x:c r="F29" s="57" t="str">
        <x:v>Every valuation refresh</x:v>
      </x:c>
      <x:c r="G29" s="57" t="str">
        <x:v>Summary, DCF, PER</x:v>
      </x:c>
      <x:c r="H29" s="62" t="str">
        <x:v>Use a trading day</x:v>
      </x:c>
    </x:row>
    <x:row r="30" ht="24" hidden="0" customHeight="1">
      <x:c r="A30" s="61" t="str">
        <x:v>Information cutoff</x:v>
      </x:c>
      <x:c r="B30" s="57" t="str">
        <x:v>2026-10-07 close</x:v>
      </x:c>
      <x:c r="C30" s="57" t="str">
        <x:v>Information public by this cutoff</x:v>
      </x:c>
      <x:c r="D30" s="57" t="str">
        <x:v>DART and company IR</x:v>
      </x:c>
      <x:c r="E30" s="57" t="str">
        <x:v>Model vintage</x:v>
      </x:c>
      <x:c r="F30" s="57" t="str">
        <x:v>Every new disclosure</x:v>
      </x:c>
      <x:c r="G30" s="57" t="str">
        <x:v>All actuals and forecast inputs</x:v>
      </x:c>
      <x:c r="H30" s="62" t="str">
        <x:v>After-close releases roll to next trading-day vintage</x:v>
      </x:c>
    </x:row>
    <x:row r="31" ht="15" hidden="0" customHeight="1">
      <x:c r="A31" s="61" t="str">
        <x:v>Latest annual actual</x:v>
      </x:c>
      <x:c r="B31" s="57" t="str">
        <x:v>FY2025</x:v>
      </x:c>
      <x:c r="C31" s="57" t="str">
        <x:v>Latest annual period in current model</x:v>
      </x:c>
      <x:c r="D31" s="57" t="str">
        <x:v>SK hynix FY25 results</x:v>
      </x:c>
      <x:c r="E31" s="57" t="str">
        <x:v>Actual</x:v>
      </x:c>
      <x:c r="F31" s="57" t="str">
        <x:v>Annual filing</x:v>
      </x:c>
      <x:c r="G31" s="57" t="str">
        <x:v>Actuals, Forecast, SOTP, RIM</x:v>
      </x:c>
      <x:c r="H31" s="62" t="str">
        <x:v>Keep audited/annual period label</x:v>
      </x:c>
    </x:row>
    <x:row r="32" ht="24" hidden="0" customHeight="1">
      <x:c r="A32" s="61" t="str">
        <x:v>Latest quarterly actual</x:v>
      </x:c>
      <x:c r="B32" s="57" t="str">
        <x:v>2Q2026</x:v>
      </x:c>
      <x:c r="C32" s="57" t="str">
        <x:v>Latest quarter in current model</x:v>
      </x:c>
      <x:c r="D32" s="57" t="str">
        <x:v>SK hynix 2Q26 results</x:v>
      </x:c>
      <x:c r="E32" s="57" t="str">
        <x:v>Preliminary company release</x:v>
      </x:c>
      <x:c r="F32" s="57" t="str">
        <x:v>Quarterly release / filing</x:v>
      </x:c>
      <x:c r="G32" s="57" t="str">
        <x:v>Actuals, Forecast, HBM Build</x:v>
      </x:c>
      <x:c r="H32" s="62" t="str">
        <x:v>Do not confuse quarter and half-year cumulative values</x:v>
      </x:c>
    </x:row>
    <x:row r="33" ht="24" hidden="0" customHeight="1">
      <x:c r="A33" s="61" t="str">
        <x:v>Forecast vintage</x:v>
      </x:c>
      <x:c r="B33" s="57" t="str">
        <x:v>2026-10-07 analyst case</x:v>
      </x:c>
      <x:c r="C33" s="57" t="str">
        <x:v>Analyst base/bull/bear assumptions as of cutoff</x:v>
      </x:c>
      <x:c r="D33" s="57" t="str">
        <x:v>Analyst model</x:v>
      </x:c>
      <x:c r="E33" s="57" t="str">
        <x:v>Estimate</x:v>
      </x:c>
      <x:c r="F33" s="57" t="str">
        <x:v>Each earnings / outlook revision</x:v>
      </x:c>
      <x:c r="G33" s="57" t="str">
        <x:v>Forecast and all valuation tabs</x:v>
      </x:c>
      <x:c r="H33" s="62" t="str">
        <x:v>Not a company guidance or consensus snapshot</x:v>
      </x:c>
    </x:row>
    <x:row r="34" ht="24" hidden="0" customHeight="1">
      <x:c r="A34" s="61" t="str">
        <x:v>Market price date</x:v>
      </x:c>
      <x:c r="B34" s="57" t="str">
        <x:v>2026-10-07</x:v>
      </x:c>
      <x:c r="C34" s="57" t="str">
        <x:v>Closing price; KRW/share</x:v>
      </x:c>
      <x:c r="D34" s="57" t="str">
        <x:v>StockAnalysis KRX 000660 history</x:v>
      </x:c>
      <x:c r="E34" s="57" t="str">
        <x:v>Market input</x:v>
      </x:c>
      <x:c r="F34" s="57" t="str">
        <x:v>Every valuation refresh</x:v>
      </x:c>
      <x:c r="G34" s="57" t="str">
        <x:v>Summary, PER</x:v>
      </x:c>
      <x:c r="H34" s="62" t="str">
        <x:v>Verify against exchange data before refresh</x:v>
      </x:c>
    </x:row>
    <x:row r="35" ht="24" hidden="0" customHeight="1">
      <x:c r="A35" s="70" t="str">
        <x:v>Diluted shares date</x:v>
      </x:c>
      <x:c r="B35" s="71" t="str">
        <x:v>2026-10-07 assumption</x:v>
      </x:c>
      <x:c r="C35" s="71" t="str">
        <x:v>700 million forecast shares in current model</x:v>
      </x:c>
      <x:c r="D35" s="71" t="str">
        <x:v>Analyst input; source reconciliation required</x:v>
      </x:c>
      <x:c r="E35" s="71" t="str">
        <x:v>Analyst assumption</x:v>
      </x:c>
      <x:c r="F35" s="71" t="str">
        <x:v>Corporate action / issuance</x:v>
      </x:c>
      <x:c r="G35" s="71" t="str">
        <x:v>Per-share values</x:v>
      </x:c>
      <x:c r="H35" s="72" t="str">
        <x:v>Do not label as reported actual shares</x:v>
      </x:c>
    </x:row>
  </x:sheetData>
  <x:mergeCells>
    <x:mergeCell ref="A1:H1"/>
    <x:mergeCell ref="A2:H2"/>
    <x:mergeCell ref="A20:H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Forecast and Scenario Control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One selector on Summary drives Base / Bull / Bear results. Yellow cells are analyst assumptions.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Metric</x:v>
      </x:c>
      <x:c r="B4" s="15" t="str">
        <x:v>2025A</x:v>
      </x:c>
      <x:c r="C4" s="15" t="str">
        <x:v>2026E Base</x:v>
      </x:c>
      <x:c r="D4" s="15" t="str">
        <x:v>2026E Bull</x:v>
      </x:c>
      <x:c r="E4" s="15" t="str">
        <x:v>2026E Bear</x:v>
      </x:c>
      <x:c r="F4" s="15" t="str">
        <x:v>2027E Base</x:v>
      </x:c>
      <x:c r="G4" s="15" t="str">
        <x:v>Source / logic</x:v>
      </x:c>
    </x:row>
    <x:row r="5">
      <x:c r="A5" t="str">
        <x:v>Revenue</x:v>
      </x:c>
      <x:c r="B5" s="36" t="n">
        <x:v>97146.7</x:v>
      </x:c>
      <x:c r="C5" s="36" t="n">
        <x:v>265000</x:v>
      </x:c>
      <x:c r="D5" s="36" t="n">
        <x:v>285000</x:v>
      </x:c>
      <x:c r="E5" s="36" t="n">
        <x:v>235000</x:v>
      </x:c>
      <x:c r="F5" s="36" t="n">
        <x:v>288000</x:v>
      </x:c>
      <x:c r="G5" t="str">
        <x:v>2Q26 run-rate + price/mix normalisation</x:v>
      </x:c>
    </x:row>
    <x:row r="6">
      <x:c r="A6" t="str">
        <x:v>EBIT margin</x:v>
      </x:c>
      <x:c r="B6" s="23" t="n">
        <x:v>0.486</x:v>
      </x:c>
      <x:c r="C6" s="23" t="n">
        <x:v>0.72</x:v>
      </x:c>
      <x:c r="D6" s="23" t="n">
        <x:v>0.75</x:v>
      </x:c>
      <x:c r="E6" s="23" t="n">
        <x:v>0.62</x:v>
      </x:c>
      <x:c r="F6" s="23" t="n">
        <x:v>0.625</x:v>
      </x:c>
      <x:c r="G6" t="str">
        <x:v>2Q26 margin not extrapolated indefinitely</x:v>
      </x:c>
    </x:row>
    <x:row r="7">
      <x:c r="A7" t="str">
        <x:v>EBIT</x:v>
      </x:c>
      <x:c r="B7" s="36" t="n">
        <x:v>47206.3</x:v>
      </x:c>
      <x:c r="C7" s="36" t="n">
        <x:f>C5*C6</x:f>
        <x:v>190800</x:v>
      </x:c>
      <x:c r="D7" s="36" t="n">
        <x:f>D5*D6</x:f>
        <x:v>213750</x:v>
      </x:c>
      <x:c r="E7" s="36" t="n">
        <x:f>E5*E6</x:f>
        <x:v>145700</x:v>
      </x:c>
      <x:c r="F7" s="36" t="n">
        <x:f>F5*F6</x:f>
        <x:v>180000</x:v>
      </x:c>
      <x:c r="G7" t="str">
        <x:v>Revenue × margin</x:v>
      </x:c>
    </x:row>
    <x:row r="8">
      <x:c r="A8" t="str">
        <x:v>Net income</x:v>
      </x:c>
      <x:c r="B8" s="36" t="n">
        <x:v>42947.9</x:v>
      </x:c>
      <x:c r="C8" s="36" t="n">
        <x:v>190000</x:v>
      </x:c>
      <x:c r="D8" s="36" t="n">
        <x:v>210000</x:v>
      </x:c>
      <x:c r="E8" s="36" t="n">
        <x:v>145000</x:v>
      </x:c>
      <x:c r="F8" s="36" t="n">
        <x:v>160000</x:v>
      </x:c>
      <x:c r="G8" t="str">
        <x:v>2026 includes elevated earnings; 2027 normalised</x:v>
      </x:c>
    </x:row>
    <x:row r="9">
      <x:c r="A9" t="str">
        <x:v>Diluted shares (mn)</x:v>
      </x:c>
      <x:c r="B9" s="36" t="n">
        <x:v>720</x:v>
      </x:c>
      <x:c r="C9" s="36" t="n">
        <x:v>700</x:v>
      </x:c>
      <x:c r="D9" s="36" t="n">
        <x:v>700</x:v>
      </x:c>
      <x:c r="E9" s="36" t="n">
        <x:v>700</x:v>
      </x:c>
      <x:c r="F9" s="36" t="n">
        <x:v>700</x:v>
      </x:c>
      <x:c r="G9" t="str">
        <x:v>Treasury-share cancellation reflected</x:v>
      </x:c>
    </x:row>
    <x:row r="10">
      <x:c r="A10" t="str">
        <x:v>EPS (KRW)</x:v>
      </x:c>
      <x:c r="B10" s="40" t="n">
        <x:f>B8*1000/B9</x:f>
        <x:v>59649.86111111111</x:v>
      </x:c>
      <x:c r="C10" s="40" t="n">
        <x:f>C8*1000/C9</x:f>
        <x:v>271428.5714285714</x:v>
      </x:c>
      <x:c r="D10" s="40" t="n">
        <x:f>D8*1000/D9</x:f>
        <x:v>300000</x:v>
      </x:c>
      <x:c r="E10" s="40" t="n">
        <x:f>E8*1000/E9</x:f>
        <x:v>207142.85714285713</x:v>
      </x:c>
      <x:c r="F10" s="40" t="n">
        <x:f>F8*1000/F9</x:f>
        <x:v>228571.42857142858</x:v>
      </x:c>
      <x:c r="G10" t="str">
        <x:v>Net income × 1,000 / shares</x:v>
      </x:c>
    </x:row>
    <x:row r="11">
      <x:c r="A11" t="str">
        <x:v>Net cash</x:v>
      </x:c>
      <x:c r="B11" s="36"/>
      <x:c r="C11" s="36" t="n">
        <x:v>78000</x:v>
      </x:c>
      <x:c r="D11" s="36" t="n">
        <x:v>85000</x:v>
      </x:c>
      <x:c r="E11" s="36" t="n">
        <x:v>62000</x:v>
      </x:c>
      <x:c r="F11" s="36" t="n">
        <x:v>92000</x:v>
      </x:c>
      <x:c r="G11" t="str">
        <x:v>2Q26 net cash 69.4T; FCF less investment</x:v>
      </x:c>
    </x:row>
    <x:row r="12">
      <x:c r="A12" t="str">
        <x:v>CAPEX</x:v>
      </x:c>
      <x:c r="B12" s="36"/>
      <x:c r="C12" s="36" t="n">
        <x:v>55000</x:v>
      </x:c>
      <x:c r="D12" s="36" t="n">
        <x:v>62000</x:v>
      </x:c>
      <x:c r="E12" s="36" t="n">
        <x:v>50000</x:v>
      </x:c>
      <x:c r="F12" s="36" t="n">
        <x:v>65000</x:v>
      </x:c>
      <x:c r="G12" t="str">
        <x:v>M15X, Yongin / packaging investment</x:v>
      </x:c>
    </x:row>
    <x:row r="13">
      <x:c r="A13" t="str">
        <x:v>D&amp;A</x:v>
      </x:c>
      <x:c r="B13" s="36"/>
      <x:c r="C13" s="36" t="n">
        <x:v>22000</x:v>
      </x:c>
      <x:c r="D13" s="36" t="n">
        <x:v>22000</x:v>
      </x:c>
      <x:c r="E13" s="36" t="n">
        <x:v>22000</x:v>
      </x:c>
      <x:c r="F13" s="36" t="n">
        <x:v>28000</x:v>
      </x:c>
      <x:c r="G13" t="str">
        <x:v>Analyst assumption</x:v>
      </x:c>
    </x:row>
    <x:row r="14">
      <x:c r="A14" t="str">
        <x:v>Change in NWC</x:v>
      </x:c>
      <x:c r="B14" s="36"/>
      <x:c r="C14" s="36" t="n">
        <x:v>4500</x:v>
      </x:c>
      <x:c r="D14" s="36" t="n">
        <x:v>6000</x:v>
      </x:c>
      <x:c r="E14" s="36" t="n">
        <x:v>2500</x:v>
      </x:c>
      <x:c r="F14" s="36" t="n">
        <x:v>5000</x:v>
      </x:c>
      <x:c r="G14" t="str">
        <x:v>Analyst assumption</x:v>
      </x:c>
    </x:row>
    <x:row r="17">
      <x:c r="A17" s="15" t="str">
        <x:v>Active forecast metric</x:v>
      </x:c>
      <x:c r="B17" s="15" t="str">
        <x:v>2026E</x:v>
      </x:c>
      <x:c r="C17" s="15" t="str">
        <x:v>2027E</x:v>
      </x:c>
      <x:c r="D17" s="15" t="str">
        <x:v>Calculation</x:v>
      </x:c>
      <x:c r="E17" s="15" t="str">
        <x:v>Case</x:v>
      </x:c>
      <x:c r="F17" s="15" t="str"/>
    </x:row>
    <x:row r="18">
      <x:c r="A18" t="str">
        <x:v>Revenue</x:v>
      </x:c>
      <x:c r="B18" s="41" t="n">
        <x:f>IF(Summary!$B$4="Bull",D5,IF(Summary!$B$4="Bear",E5,C5))</x:f>
        <x:v>265000</x:v>
      </x:c>
      <x:c r="C18" s="41" t="n">
        <x:f>F5</x:f>
        <x:v>288000</x:v>
      </x:c>
    </x:row>
    <x:row r="19">
      <x:c r="A19" t="str">
        <x:v>EBIT margin</x:v>
      </x:c>
      <x:c r="B19" s="42" t="n">
        <x:f>IF(Summary!$B$4="Bull",D6,IF(Summary!$B$4="Bear",E6,C6))</x:f>
        <x:v>0.72</x:v>
      </x:c>
      <x:c r="C19" s="42" t="n">
        <x:f>F6</x:f>
        <x:v>0.625</x:v>
      </x:c>
    </x:row>
    <x:row r="20">
      <x:c r="A20" t="str">
        <x:v>EBIT</x:v>
      </x:c>
      <x:c r="B20" s="41" t="n">
        <x:f>B18*B19</x:f>
        <x:v>190800</x:v>
      </x:c>
      <x:c r="C20" s="41" t="n">
        <x:f>C18*C19</x:f>
        <x:v>180000</x:v>
      </x:c>
    </x:row>
    <x:row r="21">
      <x:c r="A21" t="str">
        <x:v>Net income</x:v>
      </x:c>
      <x:c r="B21" s="41" t="n">
        <x:f>IF(Summary!$B$4="Bull",D8,IF(Summary!$B$4="Bear",E8,C8))</x:f>
        <x:v>190000</x:v>
      </x:c>
      <x:c r="C21" s="41" t="n">
        <x:f>F8</x:f>
        <x:v>160000</x:v>
      </x:c>
    </x:row>
    <x:row r="22">
      <x:c r="A22" t="str">
        <x:v>Diluted shares</x:v>
      </x:c>
      <x:c r="B22" s="41" t="n">
        <x:f>IF(Summary!$B$4="Bull",D9,IF(Summary!$B$4="Bear",E9,C9))</x:f>
        <x:v>700</x:v>
      </x:c>
      <x:c r="C22" s="41" t="n">
        <x:f>F9</x:f>
        <x:v>700</x:v>
      </x:c>
    </x:row>
    <x:row r="23">
      <x:c r="A23" t="str">
        <x:v>EPS</x:v>
      </x:c>
      <x:c r="B23" s="19" t="n">
        <x:f>B21*1000/B22</x:f>
        <x:v>271428.5714285714</x:v>
      </x:c>
      <x:c r="C23" s="19" t="n">
        <x:f>C21*1000/C22</x:f>
        <x:v>228571.42857142858</x:v>
      </x:c>
    </x:row>
    <x:row r="24">
      <x:c r="A24" t="str">
        <x:v>Net cash</x:v>
      </x:c>
      <x:c r="B24" s="41" t="n">
        <x:f>IF(Summary!$B$4="Bull",D11,IF(Summary!$B$4="Bear",E11,C11))</x:f>
        <x:v>78000</x:v>
      </x:c>
      <x:c r="C24" s="41" t="n">
        <x:f>F11</x:f>
        <x:v>92000</x:v>
      </x:c>
    </x:row>
    <x:row r="25">
      <x:c r="A25" t="str">
        <x:v>CAPEX</x:v>
      </x:c>
      <x:c r="B25" s="41" t="n">
        <x:f>IF(Summary!$B$4="Bull",D12,IF(Summary!$B$4="Bear",E12,C12))</x:f>
        <x:v>55000</x:v>
      </x:c>
      <x:c r="C25" s="41" t="n">
        <x:f>F12</x:f>
        <x:v>65000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38" hidden="0" customWidth="1"/>
  </x:cols>
  <x:sheetData>
    <x:row r="1" ht="30" customHeight="1">
      <x:c r="A1" s="3" t="str">
        <x:v>HBM Vintage Build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HBM3E → HBM4 → HBM4E. Index-based bridge shows mix transfer; it is not a unit-volume forecast.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Generation / metric</x:v>
      </x:c>
      <x:c r="B4" s="15" t="str">
        <x:v>2025A</x:v>
      </x:c>
      <x:c r="C4" s="15" t="str">
        <x:v>2026E</x:v>
      </x:c>
      <x:c r="D4" s="15" t="str">
        <x:v>2027E</x:v>
      </x:c>
      <x:c r="E4" s="15" t="str">
        <x:v>2028E</x:v>
      </x:c>
      <x:c r="F4" s="15" t="str">
        <x:v>2029E</x:v>
      </x:c>
      <x:c r="G4" s="15" t="str">
        <x:v>Comment</x:v>
      </x:c>
    </x:row>
    <x:row r="5">
      <x:c r="A5" s="27" t="str">
        <x:v>HBM3E volume index</x:v>
      </x:c>
      <x:c r="B5" s="44" t="n">
        <x:v>100</x:v>
      </x:c>
      <x:c r="C5" s="44" t="n">
        <x:v>125</x:v>
      </x:c>
      <x:c r="D5" s="44" t="n">
        <x:v>80</x:v>
      </x:c>
      <x:c r="E5" s="44" t="n">
        <x:v>35</x:v>
      </x:c>
      <x:c r="F5" s="44" t="n">
        <x:v>15</x:v>
      </x:c>
      <x:c r="G5" s="27" t="str">
        <x:v>Transitions to HBM4</x:v>
      </x:c>
    </x:row>
    <x:row r="6">
      <x:c r="A6" s="27" t="str">
        <x:v>HBM3E ASP index</x:v>
      </x:c>
      <x:c r="B6" s="44" t="n">
        <x:v>100</x:v>
      </x:c>
      <x:c r="C6" s="44" t="n">
        <x:v>108</x:v>
      </x:c>
      <x:c r="D6" s="44" t="n">
        <x:v>90</x:v>
      </x:c>
      <x:c r="E6" s="44" t="n">
        <x:v>75</x:v>
      </x:c>
      <x:c r="F6" s="44" t="n">
        <x:v>65</x:v>
      </x:c>
      <x:c r="G6" s="27" t="str">
        <x:v>Price pressure after transition</x:v>
      </x:c>
    </x:row>
    <x:row r="7">
      <x:c r="A7" s="27" t="str">
        <x:v>HBM3E EBIT margin</x:v>
      </x:c>
      <x:c r="B7" s="45" t="n">
        <x:v>0.48</x:v>
      </x:c>
      <x:c r="C7" s="45" t="n">
        <x:v>0.5</x:v>
      </x:c>
      <x:c r="D7" s="45" t="n">
        <x:v>0.4</x:v>
      </x:c>
      <x:c r="E7" s="45" t="n">
        <x:v>0.3</x:v>
      </x:c>
      <x:c r="F7" s="45" t="n">
        <x:v>0.22</x:v>
      </x:c>
      <x:c r="G7" s="27" t="str">
        <x:v>Mature high-margin product</x:v>
      </x:c>
    </x:row>
    <x:row r="8">
      <x:c r="A8" s="27" t="str">
        <x:v>HBM4 volume index</x:v>
      </x:c>
      <x:c r="B8" s="44" t="n">
        <x:v>0</x:v>
      </x:c>
      <x:c r="C8" s="44" t="n">
        <x:v>70</x:v>
      </x:c>
      <x:c r="D8" s="44" t="n">
        <x:v>150</x:v>
      </x:c>
      <x:c r="E8" s="44" t="n">
        <x:v>165</x:v>
      </x:c>
      <x:c r="F8" s="44" t="n">
        <x:v>130</x:v>
      </x:c>
      <x:c r="G8" s="27" t="str">
        <x:v>Mass shipments began in 2Q26</x:v>
      </x:c>
    </x:row>
    <x:row r="9">
      <x:c r="A9" s="27" t="str">
        <x:v>HBM4 ASP index</x:v>
      </x:c>
      <x:c r="B9" s="44" t="n">
        <x:v>0</x:v>
      </x:c>
      <x:c r="C9" s="44" t="n">
        <x:v>135</x:v>
      </x:c>
      <x:c r="D9" s="44" t="n">
        <x:v>125</x:v>
      </x:c>
      <x:c r="E9" s="44" t="n">
        <x:v>110</x:v>
      </x:c>
      <x:c r="F9" s="44" t="n">
        <x:v>95</x:v>
      </x:c>
      <x:c r="G9" s="27" t="str">
        <x:v>Premium supported by speed / power</x:v>
      </x:c>
    </x:row>
    <x:row r="10">
      <x:c r="A10" s="27" t="str">
        <x:v>HBM4 EBIT margin</x:v>
      </x:c>
      <x:c r="B10" s="45" t="n">
        <x:v>0</x:v>
      </x:c>
      <x:c r="C10" s="45" t="n">
        <x:v>0.52</x:v>
      </x:c>
      <x:c r="D10" s="45" t="n">
        <x:v>0.54</x:v>
      </x:c>
      <x:c r="E10" s="45" t="n">
        <x:v>0.48</x:v>
      </x:c>
      <x:c r="F10" s="45" t="n">
        <x:v>0.4</x:v>
      </x:c>
      <x:c r="G10" s="27" t="str">
        <x:v>Yield normalisation in 2027</x:v>
      </x:c>
    </x:row>
    <x:row r="11">
      <x:c r="A11" s="27" t="str">
        <x:v>HBM4E volume index</x:v>
      </x:c>
      <x:c r="B11" s="44" t="n">
        <x:v>0</x:v>
      </x:c>
      <x:c r="C11" s="44" t="n">
        <x:v>0</x:v>
      </x:c>
      <x:c r="D11" s="44" t="n">
        <x:v>25</x:v>
      </x:c>
      <x:c r="E11" s="44" t="n">
        <x:v>85</x:v>
      </x:c>
      <x:c r="F11" s="44" t="n">
        <x:v>145</x:v>
      </x:c>
      <x:c r="G11" s="27" t="str">
        <x:v>Sample shipped in 1H26</x:v>
      </x:c>
    </x:row>
    <x:row r="12">
      <x:c r="A12" s="27" t="str">
        <x:v>HBM4E ASP index</x:v>
      </x:c>
      <x:c r="B12" s="44" t="n">
        <x:v>0</x:v>
      </x:c>
      <x:c r="C12" s="44" t="n">
        <x:v>0</x:v>
      </x:c>
      <x:c r="D12" s="44" t="n">
        <x:v>150</x:v>
      </x:c>
      <x:c r="E12" s="44" t="n">
        <x:v>145</x:v>
      </x:c>
      <x:c r="F12" s="44" t="n">
        <x:v>125</x:v>
      </x:c>
      <x:c r="G12" s="27" t="str">
        <x:v>New generation premium</x:v>
      </x:c>
    </x:row>
    <x:row r="13">
      <x:c r="A13" s="27" t="str">
        <x:v>HBM4E EBIT margin</x:v>
      </x:c>
      <x:c r="B13" s="45" t="n">
        <x:v>0</x:v>
      </x:c>
      <x:c r="C13" s="45" t="n">
        <x:v>0</x:v>
      </x:c>
      <x:c r="D13" s="45" t="n">
        <x:v>0.3</x:v>
      </x:c>
      <x:c r="E13" s="45" t="n">
        <x:v>0.45</x:v>
      </x:c>
      <x:c r="F13" s="45" t="n">
        <x:v>0.48</x:v>
      </x:c>
      <x:c r="G13" s="27" t="str">
        <x:v>Initial ramp burden</x:v>
      </x:c>
    </x:row>
    <x:row r="14">
      <x:c r="A14" s="27" t="str">
        <x:v>HBM total revenue index</x:v>
      </x:c>
      <x:c r="B14" s="37" t="n">
        <x:f>B5*B6+B8*B9+B11*B12</x:f>
        <x:v>10000</x:v>
      </x:c>
      <x:c r="C14" s="37" t="n">
        <x:f>C5*C6+C8*C9+C11*C12</x:f>
        <x:v>22950</x:v>
      </x:c>
      <x:c r="D14" s="37" t="n">
        <x:f>D5*D6+D8*D9+D11*D12</x:f>
        <x:v>29700</x:v>
      </x:c>
      <x:c r="E14" s="37" t="n">
        <x:f>E5*E6+E8*E9+E11*E12</x:f>
        <x:v>33100</x:v>
      </x:c>
      <x:c r="F14" s="37" t="n">
        <x:f>F5*F6+F8*F9+F11*F12</x:f>
        <x:v>31450</x:v>
      </x:c>
      <x:c r="G14" s="27" t="str">
        <x:v>Sum generation revenue indices</x:v>
      </x:c>
    </x:row>
    <x:row r="15">
      <x:c r="A15" s="27" t="str">
        <x:v>HBM EBIT index</x:v>
      </x:c>
      <x:c r="B15" s="37" t="n">
        <x:f>B5*B6*B7+B8*B9*B10+B11*B12*B13</x:f>
        <x:v>4800</x:v>
      </x:c>
      <x:c r="C15" s="37" t="n">
        <x:f>C5*C6*C7+C8*C9*C10+C11*C12*C13</x:f>
        <x:v>11664</x:v>
      </x:c>
      <x:c r="D15" s="37" t="n">
        <x:f>D5*D6*D7+D8*D9*D10+D11*D12*D13</x:f>
        <x:v>14130</x:v>
      </x:c>
      <x:c r="E15" s="37" t="n">
        <x:f>E5*E6*E7+E8*E9*E10+E11*E12*E13</x:f>
        <x:v>15045.75</x:v>
      </x:c>
      <x:c r="F15" s="37" t="n">
        <x:f>F5*F6*F7+F8*F9*F10+F11*F12*F13</x:f>
        <x:v>13854.5</x:v>
      </x:c>
      <x:c r="G15" s="27" t="str">
        <x:v>Revenue × margin</x:v>
      </x:c>
    </x:row>
    <x:row r="16">
      <x:c r="A16" s="27" t="str">
        <x:v>HBM4 + HBM4E mix</x:v>
      </x:c>
      <x:c r="B16" s="30" t="n">
        <x:f>IFERROR((B8*B9+B11*B12)/B14,0)</x:f>
        <x:v>0</x:v>
      </x:c>
      <x:c r="C16" s="30" t="n">
        <x:f>IFERROR((C8*C9+C11*C12)/C14,0)</x:f>
        <x:v>0.4117647058823529</x:v>
      </x:c>
      <x:c r="D16" s="30" t="n">
        <x:f>IFERROR((D8*D9+D11*D12)/D14,0)</x:f>
        <x:v>0.7575757575757576</x:v>
      </x:c>
      <x:c r="E16" s="30" t="n">
        <x:f>IFERROR((E8*E9+E11*E12)/E14,0)</x:f>
        <x:v>0.9206948640483383</x:v>
      </x:c>
      <x:c r="F16" s="30" t="n">
        <x:f>IFERROR((F8*F9+F11*F12)/F14,0)</x:f>
        <x:v>0.9689984101748808</x:v>
      </x:c>
      <x:c r="G16" s="27" t="str">
        <x:v>New-generation revenue share</x:v>
      </x:c>
    </x:row>
    <x:row r="17">
      <x:c r="A17" s="27" t="str">
        <x:v>Evidence</x:v>
      </x:c>
      <x:c r="B17" s="27" t="str"/>
      <x:c r="C17" s="27" t="str">
        <x:v>2Q26 HBM4 mass shipment</x:v>
      </x:c>
      <x:c r="D17" s="27" t="str">
        <x:v>HBM4 ramp</x:v>
      </x:c>
      <x:c r="E17" s="27" t="str">
        <x:v>HBM4E ramp</x:v>
      </x:c>
      <x:c r="F17" s="27" t="str">
        <x:v>Mature mix</x:v>
      </x:c>
      <x:c r="G17" s="27" t="str">
        <x:v>Official company communication</x:v>
      </x:c>
    </x:row>
    <x:row r="18">
      <x:c r="A18" s="27" t="str">
        <x:v>Update trigger</x:v>
      </x:c>
      <x:c r="B18" s="27" t="str"/>
      <x:c r="C18" s="27" t="str">
        <x:v>Yield / certification</x:v>
      </x:c>
      <x:c r="D18" s="27" t="str">
        <x:v>Customer mix</x:v>
      </x:c>
      <x:c r="E18" s="27" t="str">
        <x:v>Capacity</x:v>
      </x:c>
      <x:c r="F18" s="27" t="str">
        <x:v>Competition</x:v>
      </x:c>
      <x:c r="G18" s="27" t="str">
        <x:v>Review quarterly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34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SOTP Valuation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Primary valuation: each segment receives a multiple consistent with its economics and peer set.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Segment</x:v>
      </x:c>
      <x:c r="B4" s="15" t="str">
        <x:v>2027E EBIT</x:v>
      </x:c>
      <x:c r="C4" s="15" t="str">
        <x:v>Selected EV/EBIT</x:v>
      </x:c>
      <x:c r="D4" s="15" t="str">
        <x:v>Enterprise value</x:v>
      </x:c>
      <x:c r="E4" s="15" t="str">
        <x:v>Peer / rationale</x:v>
      </x:c>
      <x:c r="F4" s="15" t="str">
        <x:v>Update trigger</x:v>
      </x:c>
    </x:row>
    <x:row r="5">
      <x:c r="A5" s="27" t="str">
        <x:v>HBM &amp; AI DRAM</x:v>
      </x:c>
      <x:c r="B5" s="44" t="n">
        <x:v>70000</x:v>
      </x:c>
      <x:c r="C5" s="44" t="n">
        <x:v>11</x:v>
      </x:c>
      <x:c r="D5" s="37" t="n">
        <x:f>B5*C5</x:f>
        <x:v>770000</x:v>
      </x:c>
      <x:c r="E5" s="27" t="str">
        <x:v>Micron normalised anchor + HBM mix bridge</x:v>
      </x:c>
      <x:c r="F5" s="27" t="str">
        <x:v>HBM4 yield / ASP / LTA</x:v>
      </x:c>
    </x:row>
    <x:row r="6">
      <x:c r="A6" s="27" t="str">
        <x:v>Conventional DRAM</x:v>
      </x:c>
      <x:c r="B6" s="44" t="n">
        <x:v>80000</x:v>
      </x:c>
      <x:c r="C6" s="44" t="n">
        <x:v>6.5</x:v>
      </x:c>
      <x:c r="D6" s="37" t="n">
        <x:f>B6*C6</x:f>
        <x:v>520000</x:v>
      </x:c>
      <x:c r="E6" s="27" t="str">
        <x:v>Mid-cycle memory multiple; excludes HBM premium</x:v>
      </x:c>
      <x:c r="F6" s="27" t="str">
        <x:v>DRAM prices / inventory</x:v>
      </x:c>
    </x:row>
    <x:row r="7">
      <x:c r="A7" s="27" t="str">
        <x:v>NAND &amp; Solidigm</x:v>
      </x:c>
      <x:c r="B7" s="44" t="n">
        <x:v>25000</x:v>
      </x:c>
      <x:c r="C7" s="44" t="n">
        <x:v>4</x:v>
      </x:c>
      <x:c r="D7" s="37" t="n">
        <x:f>B7*C7</x:f>
        <x:v>100000</x:v>
      </x:c>
      <x:c r="E7" s="27" t="str">
        <x:v>Kioxia / SanDisk used only for NAND economics</x:v>
      </x:c>
      <x:c r="F7" s="27" t="str">
        <x:v>eSSD mix / NAND ASP</x:v>
      </x:c>
    </x:row>
    <x:row r="8">
      <x:c r="A8" s="27" t="str">
        <x:v>Other &amp; adjustments</x:v>
      </x:c>
      <x:c r="B8" s="44" t="n">
        <x:v>5000</x:v>
      </x:c>
      <x:c r="C8" s="44" t="n">
        <x:v>3</x:v>
      </x:c>
      <x:c r="D8" s="37" t="n">
        <x:f>B8*C8</x:f>
        <x:v>15000</x:v>
      </x:c>
      <x:c r="E8" s="27" t="str">
        <x:v>Conservative low-growth multiple</x:v>
      </x:c>
      <x:c r="F8" s="27" t="str">
        <x:v>Non-core changes</x:v>
      </x:c>
    </x:row>
    <x:row r="11">
      <x:c r="A11" s="15" t="str">
        <x:v>Bridge</x:v>
      </x:c>
      <x:c r="B11" s="15" t="str">
        <x:v>Value</x:v>
      </x:c>
    </x:row>
    <x:row r="12">
      <x:c r="A12" t="str">
        <x:v>Total enterprise value</x:v>
      </x:c>
      <x:c r="B12" s="40" t="n">
        <x:f>SUM(D5:D8)</x:f>
        <x:v>1405000</x:v>
      </x:c>
    </x:row>
    <x:row r="13">
      <x:c r="A13" t="str">
        <x:v>2027E net cash</x:v>
      </x:c>
      <x:c r="B13" s="40" t="n">
        <x:f>'Forecast'!C24</x:f>
        <x:v>92000</x:v>
      </x:c>
    </x:row>
    <x:row r="14">
      <x:c r="A14" t="str">
        <x:v>Equity value</x:v>
      </x:c>
      <x:c r="B14" s="40" t="n">
        <x:f>B12+B13</x:f>
        <x:v>1497000</x:v>
      </x:c>
    </x:row>
    <x:row r="15">
      <x:c r="A15" t="str">
        <x:v>Diluted shares (mn)</x:v>
      </x:c>
      <x:c r="B15" s="40" t="n">
        <x:f>'Forecast'!C22</x:f>
        <x:v>700</x:v>
      </x:c>
    </x:row>
    <x:row r="16">
      <x:c r="A16" t="str">
        <x:v>Value per share</x:v>
      </x:c>
      <x:c r="B16" s="40" t="n">
        <x:f>B14*1000/B15</x:f>
        <x:v>2138571.4285714286</x:v>
      </x:c>
    </x:row>
    <x:row r="19">
      <x:c r="A19" s="15" t="str">
        <x:v>Case</x:v>
      </x:c>
      <x:c r="B19" s="15" t="str">
        <x:v>SOTP / share</x:v>
      </x:c>
      <x:c r="C19" s="15" t="str">
        <x:v>Interpretation</x:v>
      </x:c>
    </x:row>
    <x:row r="20">
      <x:c r="A20" s="35" t="str">
        <x:v>Bull</x:v>
      </x:c>
      <x:c r="B20" s="35" t="n">
        <x:v>2450000</x:v>
      </x:c>
      <x:c r="C20" s="35" t="str">
        <x:v>HBM4 ramp, DRAM pricing, FCF conversion outperform</x:v>
      </x:c>
    </x:row>
    <x:row r="21">
      <x:c r="A21" s="35" t="str">
        <x:v>Base</x:v>
      </x:c>
      <x:c r="B21" s="35" t="n">
        <x:v>2139000</x:v>
      </x:c>
      <x:c r="C21" s="35" t="str">
        <x:v>Segment case above</x:v>
      </x:c>
    </x:row>
    <x:row r="22">
      <x:c r="A22" s="35" t="str">
        <x:v>Bear</x:v>
      </x:c>
      <x:c r="B22" s="35" t="n">
        <x:v>1540000</x:v>
      </x:c>
      <x:c r="C22" s="35" t="str">
        <x:v>HBM / memory normalisation arrives earlier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DCF Cross-check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Unlevered DCF uses normalised margins and high CAPEX. Values in KRW bn.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Metric</x:v>
      </x:c>
      <x:c r="B4" s="15" t="str">
        <x:v>2026E</x:v>
      </x:c>
      <x:c r="C4" s="15" t="str">
        <x:v>2027E</x:v>
      </x:c>
      <x:c r="D4" s="15" t="str">
        <x:v>2028E</x:v>
      </x:c>
      <x:c r="E4" s="15" t="str">
        <x:v>2029E</x:v>
      </x:c>
      <x:c r="F4" s="15" t="str">
        <x:v>2030E</x:v>
      </x:c>
    </x:row>
    <x:row r="5">
      <x:c r="A5" t="str">
        <x:v>Revenue</x:v>
      </x:c>
      <x:c r="B5" s="38" t="n">
        <x:v>265000</x:v>
      </x:c>
      <x:c r="C5" s="38" t="n">
        <x:v>288000</x:v>
      </x:c>
      <x:c r="D5" s="38" t="n">
        <x:v>300000</x:v>
      </x:c>
      <x:c r="E5" s="38" t="n">
        <x:v>306000</x:v>
      </x:c>
      <x:c r="F5" s="38" t="n">
        <x:v>312000</x:v>
      </x:c>
    </x:row>
    <x:row r="6">
      <x:c r="A6" t="str">
        <x:v>EBIT margin</x:v>
      </x:c>
      <x:c r="B6" s="43" t="n">
        <x:v>0.72</x:v>
      </x:c>
      <x:c r="C6" s="43" t="n">
        <x:v>0.625</x:v>
      </x:c>
      <x:c r="D6" s="43" t="n">
        <x:v>0.55</x:v>
      </x:c>
      <x:c r="E6" s="43" t="n">
        <x:v>0.48</x:v>
      </x:c>
      <x:c r="F6" s="43" t="n">
        <x:v>0.43</x:v>
      </x:c>
    </x:row>
    <x:row r="7">
      <x:c r="A7" t="str">
        <x:v>EBIT</x:v>
      </x:c>
      <x:c r="B7" s="36" t="n">
        <x:f>B5*B6</x:f>
        <x:v>190800</x:v>
      </x:c>
      <x:c r="C7" s="36" t="n">
        <x:f>C5*C6</x:f>
        <x:v>180000</x:v>
      </x:c>
      <x:c r="D7" s="36" t="n">
        <x:f>D5*D6</x:f>
        <x:v>165000</x:v>
      </x:c>
      <x:c r="E7" s="36" t="n">
        <x:f>E5*E6</x:f>
        <x:v>146880</x:v>
      </x:c>
      <x:c r="F7" s="36" t="n">
        <x:f>F5*F6</x:f>
        <x:v>134160</x:v>
      </x:c>
    </x:row>
    <x:row r="8">
      <x:c r="A8" t="str">
        <x:v>Tax rate</x:v>
      </x:c>
      <x:c r="B8" s="43" t="n">
        <x:v>0.24</x:v>
      </x:c>
      <x:c r="C8" s="43" t="n">
        <x:v>0.24</x:v>
      </x:c>
      <x:c r="D8" s="43" t="n">
        <x:v>0.24</x:v>
      </x:c>
      <x:c r="E8" s="43" t="n">
        <x:v>0.24</x:v>
      </x:c>
      <x:c r="F8" s="43" t="n">
        <x:v>0.24</x:v>
      </x:c>
    </x:row>
    <x:row r="9">
      <x:c r="A9" t="str">
        <x:v>NOPAT</x:v>
      </x:c>
      <x:c r="B9" s="36" t="n">
        <x:f>B7*(1-B8)</x:f>
        <x:v>145008</x:v>
      </x:c>
      <x:c r="C9" s="36" t="n">
        <x:f>C7*(1-C8)</x:f>
        <x:v>136800</x:v>
      </x:c>
      <x:c r="D9" s="36" t="n">
        <x:f>D7*(1-D8)</x:f>
        <x:v>125400</x:v>
      </x:c>
      <x:c r="E9" s="36" t="n">
        <x:f>E7*(1-E8)</x:f>
        <x:v>111628.8</x:v>
      </x:c>
      <x:c r="F9" s="36" t="n">
        <x:f>F7*(1-F8)</x:f>
        <x:v>101961.6</x:v>
      </x:c>
    </x:row>
    <x:row r="10">
      <x:c r="A10" t="str">
        <x:v>D&amp;A</x:v>
      </x:c>
      <x:c r="B10" s="38" t="n">
        <x:v>22000</x:v>
      </x:c>
      <x:c r="C10" s="38" t="n">
        <x:v>28000</x:v>
      </x:c>
      <x:c r="D10" s="38" t="n">
        <x:v>32000</x:v>
      </x:c>
      <x:c r="E10" s="38" t="n">
        <x:v>35000</x:v>
      </x:c>
      <x:c r="F10" s="38" t="n">
        <x:v>36000</x:v>
      </x:c>
    </x:row>
    <x:row r="11">
      <x:c r="A11" t="str">
        <x:v>CAPEX</x:v>
      </x:c>
      <x:c r="B11" s="38" t="n">
        <x:v>55000</x:v>
      </x:c>
      <x:c r="C11" s="38" t="n">
        <x:v>65000</x:v>
      </x:c>
      <x:c r="D11" s="38" t="n">
        <x:v>68000</x:v>
      </x:c>
      <x:c r="E11" s="38" t="n">
        <x:v>62000</x:v>
      </x:c>
      <x:c r="F11" s="38" t="n">
        <x:v>56000</x:v>
      </x:c>
    </x:row>
    <x:row r="12">
      <x:c r="A12" t="str">
        <x:v>Change in NWC</x:v>
      </x:c>
      <x:c r="B12" s="38" t="n">
        <x:v>4500</x:v>
      </x:c>
      <x:c r="C12" s="38" t="n">
        <x:v>5000</x:v>
      </x:c>
      <x:c r="D12" s="38" t="n">
        <x:v>4500</x:v>
      </x:c>
      <x:c r="E12" s="38" t="n">
        <x:v>3500</x:v>
      </x:c>
      <x:c r="F12" s="38" t="n">
        <x:v>3000</x:v>
      </x:c>
    </x:row>
    <x:row r="13">
      <x:c r="A13" t="str">
        <x:v>FCFF</x:v>
      </x:c>
      <x:c r="B13" s="36" t="n">
        <x:f>B9+B10-B11-B12</x:f>
        <x:v>107508</x:v>
      </x:c>
      <x:c r="C13" s="36" t="n">
        <x:f>C9+C10-C11-C12</x:f>
        <x:v>94800</x:v>
      </x:c>
      <x:c r="D13" s="36" t="n">
        <x:f>D9+D10-D11-D12</x:f>
        <x:v>84900</x:v>
      </x:c>
      <x:c r="E13" s="36" t="n">
        <x:f>E9+E10-E11-E12</x:f>
        <x:v>81128.79999999999</x:v>
      </x:c>
      <x:c r="F13" s="36" t="n">
        <x:f>F9+F10-F11-F12</x:f>
        <x:v>78961.6</x:v>
      </x:c>
    </x:row>
    <x:row r="16">
      <x:c r="A16" s="15" t="str">
        <x:v>Assumption</x:v>
      </x:c>
      <x:c r="B16" s="15" t="str">
        <x:v>Value</x:v>
      </x:c>
    </x:row>
    <x:row r="17">
      <x:c r="A17" t="str">
        <x:v>WACC</x:v>
      </x:c>
      <x:c r="B17" s="43" t="n">
        <x:v>0.095</x:v>
      </x:c>
    </x:row>
    <x:row r="18">
      <x:c r="A18" t="str">
        <x:v>Terminal growth</x:v>
      </x:c>
      <x:c r="B18" s="43" t="n">
        <x:v>0.025</x:v>
      </x:c>
    </x:row>
    <x:row r="20">
      <x:c r="A20" s="15" t="str">
        <x:v>DCF result</x:v>
      </x:c>
      <x:c r="B20" s="15" t="str">
        <x:v>Value</x:v>
      </x:c>
    </x:row>
    <x:row r="21">
      <x:c r="A21" t="str">
        <x:v>PV explicit FCFF</x:v>
      </x:c>
      <x:c r="B21" s="40" t="n">
        <x:f>B13/(1+$B$17)^1+C13/(1+$B$17)^2+D13/(1+$B$17)^3+E13/(1+$B$17)^4+F13/(1+$B$17)^5</x:f>
        <x:v>348499.174149509</x:v>
      </x:c>
    </x:row>
    <x:row r="22">
      <x:c r="A22" t="str">
        <x:v>Terminal value</x:v>
      </x:c>
      <x:c r="B22" s="40" t="n">
        <x:f>F13*(1+$B$18)/($B$17-$B$18)</x:f>
        <x:v>1156223.4285714284</x:v>
      </x:c>
    </x:row>
    <x:row r="23">
      <x:c r="A23" t="str">
        <x:v>PV terminal value</x:v>
      </x:c>
      <x:c r="B23" s="40" t="n">
        <x:f>B22/(1+$B$17)^5</x:f>
        <x:v>734465.1090756175</x:v>
      </x:c>
    </x:row>
    <x:row r="24">
      <x:c r="A24" t="str">
        <x:v>Enterprise value</x:v>
      </x:c>
      <x:c r="B24" s="40" t="n">
        <x:f>B21+B23</x:f>
        <x:v>1082964.2832251266</x:v>
      </x:c>
    </x:row>
    <x:row r="25">
      <x:c r="A25" t="str">
        <x:v>Equity value</x:v>
      </x:c>
      <x:c r="B25" s="40" t="n">
        <x:f>B24+'Forecast'!C24</x:f>
        <x:v>1174964.2832251266</x:v>
      </x:c>
    </x:row>
    <x:row r="26">
      <x:c r="A26" t="str">
        <x:v>Value per share</x:v>
      </x:c>
      <x:c r="B26" s="40" t="n">
        <x:f>B25*1000/'Forecast'!C22</x:f>
        <x:v>1678520.4046073235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30" customHeight="1">
      <x:c r="A1" s="3" t="str">
        <x:v>Residual Income Model (RIM)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Downside lens: high ROE fades as the current memory supercycle normalises. Values in KRW bn.</x:v>
      </x:c>
      <x:c r="B2" s="6"/>
      <x:c r="C2" s="6"/>
      <x:c r="D2" s="6"/>
      <x:c r="E2" s="6"/>
      <x:c r="F2" s="6"/>
      <x:c r="G2" s="6"/>
      <x:c r="H2" s="6"/>
    </x:row>
    <x:row r="3">
      <x:c r="B3"/>
      <x:c r="C3"/>
      <x:c r="D3"/>
      <x:c r="E3"/>
      <x:c r="F3"/>
    </x:row>
    <x:row r="4">
      <x:c r="A4" s="15" t="str">
        <x:v>Metric</x:v>
      </x:c>
      <x:c r="B4" s="15" t="str">
        <x:v>2026H2</x:v>
      </x:c>
      <x:c r="C4" s="15" t="str">
        <x:v>2027E</x:v>
      </x:c>
      <x:c r="D4" s="15" t="str">
        <x:v>2028E</x:v>
      </x:c>
      <x:c r="E4" s="15" t="str">
        <x:v>2029E</x:v>
      </x:c>
      <x:c r="F4" s="15" t="str">
        <x:v>2030E</x:v>
      </x:c>
    </x:row>
    <x:row r="5">
      <x:c r="A5" t="str">
        <x:v>Opening equity</x:v>
      </x:c>
      <x:c r="B5" s="38" t="n">
        <x:v>169400</x:v>
      </x:c>
      <x:c r="C5" s="38" t="n">
        <x:f>B9</x:f>
        <x:v>211198.625</x:v>
      </x:c>
      <x:c r="D5" s="38" t="n">
        <x:f>C9</x:f>
        <x:v>323198.625</x:v>
      </x:c>
      <x:c r="E5" s="38" t="n">
        <x:f>D9</x:f>
        <x:v>404448.625</x:v>
      </x:c>
      <x:c r="F5" s="38" t="n">
        <x:f>E9</x:f>
        <x:v>461448.625</x:v>
      </x:c>
    </x:row>
    <x:row r="6">
      <x:c r="A6" t="str">
        <x:v>Net income</x:v>
      </x:c>
      <x:c r="B6" s="38" t="n">
        <x:f>'Forecast'!C8-'Actuals &amp; Sources'!D10-'Actuals &amp; Sources'!D13</x:f>
        <x:v>55731.5</x:v>
      </x:c>
      <x:c r="C6" s="38" t="n">
        <x:v>160000</x:v>
      </x:c>
      <x:c r="D6" s="38" t="n">
        <x:v>125000</x:v>
      </x:c>
      <x:c r="E6" s="38" t="n">
        <x:v>95000</x:v>
      </x:c>
      <x:c r="F6" s="38" t="n">
        <x:v>78000</x:v>
      </x:c>
    </x:row>
    <x:row r="7">
      <x:c r="A7" t="str">
        <x:v>Payout ratio</x:v>
      </x:c>
      <x:c r="B7" s="38" t="n">
        <x:v>0.25</x:v>
      </x:c>
      <x:c r="C7" s="38" t="n">
        <x:v>0.3</x:v>
      </x:c>
      <x:c r="D7" s="38" t="n">
        <x:v>0.35</x:v>
      </x:c>
      <x:c r="E7" s="38" t="n">
        <x:v>0.4</x:v>
      </x:c>
      <x:c r="F7" s="38" t="n">
        <x:v>0.45</x:v>
      </x:c>
    </x:row>
    <x:row r="8">
      <x:c r="A8" t="str">
        <x:v>Dividend / buyback</x:v>
      </x:c>
      <x:c r="B8" s="36" t="n">
        <x:f>B6*B7</x:f>
        <x:v>13932.875</x:v>
      </x:c>
      <x:c r="C8" s="36" t="n">
        <x:f>C6*C7</x:f>
        <x:v>48000</x:v>
      </x:c>
      <x:c r="D8" s="36" t="n">
        <x:f>D6*D7</x:f>
        <x:v>43750</x:v>
      </x:c>
      <x:c r="E8" s="36" t="n">
        <x:f>E6*E7</x:f>
        <x:v>38000</x:v>
      </x:c>
      <x:c r="F8" s="36" t="n">
        <x:f>F6*F7</x:f>
        <x:v>35100</x:v>
      </x:c>
    </x:row>
    <x:row r="9">
      <x:c r="A9" t="str">
        <x:v>Closing equity</x:v>
      </x:c>
      <x:c r="B9" s="36" t="n">
        <x:f>B5+B6-B8</x:f>
        <x:v>211198.625</x:v>
      </x:c>
      <x:c r="C9" s="36" t="n">
        <x:f>C5+C6-C8</x:f>
        <x:v>323198.625</x:v>
      </x:c>
      <x:c r="D9" s="36" t="n">
        <x:f>D5+D6-D8</x:f>
        <x:v>404448.625</x:v>
      </x:c>
      <x:c r="E9" s="36" t="n">
        <x:f>E5+E6-E8</x:f>
        <x:v>461448.625</x:v>
      </x:c>
      <x:c r="F9" s="36" t="n">
        <x:f>F5+F6-F8</x:f>
        <x:v>504348.625</x:v>
      </x:c>
    </x:row>
    <x:row r="10">
      <x:c r="A10" t="str">
        <x:v>ROE</x:v>
      </x:c>
      <x:c r="B10" s="23" t="n">
        <x:f>B6/B5*2</x:f>
        <x:v>0.657987012987013</x:v>
      </x:c>
      <x:c r="C10" s="23" t="n">
        <x:f>C6/C5</x:f>
        <x:v>0.7575806897417064</x:v>
      </x:c>
      <x:c r="D10" s="23" t="n">
        <x:f>D6/D5</x:f>
        <x:v>0.38675907114394437</x:v>
      </x:c>
      <x:c r="E10" s="23" t="n">
        <x:f>E6/E5</x:f>
        <x:v>0.23488768196455112</x:v>
      </x:c>
      <x:c r="F10" s="23" t="n">
        <x:f>F6/F5</x:f>
        <x:v>0.16903290154998296</x:v>
      </x:c>
    </x:row>
    <x:row r="11">
      <x:c r="A11" t="str">
        <x:v>Cost of equity</x:v>
      </x:c>
      <x:c r="B11" s="43" t="n">
        <x:v>0.105</x:v>
      </x:c>
      <x:c r="C11" s="43" t="n">
        <x:v>0.105</x:v>
      </x:c>
      <x:c r="D11" s="43" t="n">
        <x:v>0.105</x:v>
      </x:c>
      <x:c r="E11" s="43" t="n">
        <x:v>0.105</x:v>
      </x:c>
      <x:c r="F11" s="43" t="n">
        <x:v>0.105</x:v>
      </x:c>
    </x:row>
    <x:row r="12">
      <x:c r="A12" t="str">
        <x:v>Residual income</x:v>
      </x:c>
      <x:c r="B12" s="36" t="n">
        <x:f>B6-B5*B11*0.5</x:f>
        <x:v>46838</x:v>
      </x:c>
      <x:c r="C12" s="36" t="n">
        <x:f>C6-C5*C11</x:f>
        <x:v>137824.144375</x:v>
      </x:c>
      <x:c r="D12" s="36" t="n">
        <x:f>D6-D5*D11</x:f>
        <x:v>91064.144375</x:v>
      </x:c>
      <x:c r="E12" s="36" t="n">
        <x:f>E6-E5*E11</x:f>
        <x:v>52532.894375</x:v>
      </x:c>
      <x:c r="F12" s="36" t="n">
        <x:f>F6-F5*F11</x:f>
        <x:v>29547.894375000003</x:v>
      </x:c>
    </x:row>
    <x:row r="14">
      <x:c r="B14"/>
    </x:row>
    <x:row r="15">
      <x:c r="A15" s="15" t="str">
        <x:v>RIM result</x:v>
      </x:c>
      <x:c r="B15" s="15" t="str">
        <x:v>Value</x:v>
      </x:c>
    </x:row>
    <x:row r="16">
      <x:c r="A16" t="str">
        <x:v>Starting equity (2026-06-30 reported)</x:v>
      </x:c>
      <x:c r="B16" s="40" t="n">
        <x:f>B5</x:f>
        <x:v>169400</x:v>
      </x:c>
    </x:row>
    <x:row r="17">
      <x:c r="A17" t="str">
        <x:v>PV residual income</x:v>
      </x:c>
      <x:c r="B17" s="40" t="n">
        <x:f>B12/(1+B11)^0.5+C12/(1+C11)^1.5+D12/(1+D11)^2.5+E12/(1+E11)^3.5+F12/(1+F11)^4.5</x:f>
        <x:v>290052.2853849265</x:v>
      </x:c>
    </x:row>
    <x:row r="18">
      <x:c r="A18" t="str">
        <x:v>Terminal RI value</x:v>
      </x:c>
      <x:c r="B18" s="40" t="n">
        <x:f>F9*(B23-F11)/(F11-0.025)</x:f>
        <x:v>220652.52343750015</x:v>
      </x:c>
    </x:row>
    <x:row r="19">
      <x:c r="A19" t="str">
        <x:v>PV terminal RI</x:v>
      </x:c>
      <x:c r="B19" s="40" t="n">
        <x:f>B18/(1+F11)^4.5</x:f>
        <x:v>140792.2169239876</x:v>
      </x:c>
    </x:row>
    <x:row r="20">
      <x:c r="A20" t="str">
        <x:v>Equity value</x:v>
      </x:c>
      <x:c r="B20" s="40" t="n">
        <x:f>B16+B17+B19</x:f>
        <x:v>600244.5023089141</x:v>
      </x:c>
    </x:row>
    <x:row r="21">
      <x:c r="A21" t="str">
        <x:v>Diluted shares (mn)</x:v>
      </x:c>
      <x:c r="B21" s="40" t="n">
        <x:v>700</x:v>
      </x:c>
    </x:row>
    <x:row r="22">
      <x:c r="A22" t="str">
        <x:v>Value per share</x:v>
      </x:c>
      <x:c r="B22" s="40" t="n">
        <x:f>B20*1000/B21</x:f>
        <x:v>857492.1461555915</x:v>
      </x:c>
    </x:row>
    <x:row r="23">
      <x:c r="A23" t="str">
        <x:v>Terminal ROE</x:v>
      </x:c>
      <x:c r="B23" s="43" t="n">
        <x:v>0.14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Peer PER and Premium / Discount Bridge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Micron is the sole direct economics anchor. Use direct 6x/8x/9x bear/base/bull anchors; qualitative factors do not become multiple turns without dated empirical calibration.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Direct peer rule</x:v>
      </x:c>
      <x:c r="B4" s="15" t="str">
        <x:v>Result</x:v>
      </x:c>
      <x:c r="C4" s="15" t="str">
        <x:v>Evidence</x:v>
      </x:c>
      <x:c r="D4" s="15" t="str">
        <x:v>Use</x:v>
      </x:c>
      <x:c r="E4" s="15" t="str">
        <x:v>Exclusion reason</x:v>
      </x:c>
      <x:c r="F4" s="15" t="str">
        <x:v>Source</x:v>
      </x:c>
    </x:row>
    <x:row r="5">
      <x:c r="A5" s="35" t="str">
        <x:v>Micron</x:v>
      </x:c>
      <x:c r="B5" s="35" t="str">
        <x:v>Pass all 4</x:v>
      </x:c>
      <x:c r="C5" s="35" t="str">
        <x:v>DRAM/NAND, own fab, price-cycle exposure, CAPEX</x:v>
      </x:c>
      <x:c r="D5" s="35" t="str">
        <x:v>Direct PER anchor</x:v>
      </x:c>
      <x:c r="E5" s="35" t="str">
        <x:v>-</x:v>
      </x:c>
      <x:c r="F5" s="35" t="str">
        <x:v>Micron IR</x:v>
      </x:c>
    </x:row>
    <x:row r="6">
      <x:c r="A6" s="35" t="str">
        <x:v>Samsung Electronics</x:v>
      </x:c>
      <x:c r="B6" s="35" t="str">
        <x:v>Fail at company level</x:v>
      </x:c>
      <x:c r="C6" s="35" t="str">
        <x:v>DS comparable but conglomerate earnings</x:v>
      </x:c>
      <x:c r="D6" s="35" t="str">
        <x:v>Memory segment reference</x:v>
      </x:c>
      <x:c r="E6" s="35" t="str">
        <x:v>Mobile/foundry/consumer mix distorts company PER</x:v>
      </x:c>
      <x:c r="F6" s="35" t="str">
        <x:v>Samsung IR</x:v>
      </x:c>
    </x:row>
    <x:row r="7">
      <x:c r="A7" s="35" t="str">
        <x:v>Kioxia</x:v>
      </x:c>
      <x:c r="B7" s="35" t="str">
        <x:v>NAND only</x:v>
      </x:c>
      <x:c r="C7" s="35" t="str">
        <x:v>NAND producer with CAPEX</x:v>
      </x:c>
      <x:c r="D7" s="35" t="str">
        <x:v>NAND EV/EBIT</x:v>
      </x:c>
      <x:c r="E7" s="35" t="str">
        <x:v>No DRAM/HBM economics</x:v>
      </x:c>
      <x:c r="F7" s="35" t="str">
        <x:v>Kioxia IR</x:v>
      </x:c>
    </x:row>
    <x:row r="8">
      <x:c r="A8" s="35" t="str">
        <x:v>SanDisk</x:v>
      </x:c>
      <x:c r="B8" s="35" t="str">
        <x:v>NAND only</x:v>
      </x:c>
      <x:c r="C8" s="35" t="str">
        <x:v>Storage / NAND comparison</x:v>
      </x:c>
      <x:c r="D8" s="35" t="str">
        <x:v>NAND cross-check</x:v>
      </x:c>
      <x:c r="E8" s="35" t="str">
        <x:v>No DRAM/HBM economics</x:v>
      </x:c>
      <x:c r="F8" s="35" t="str">
        <x:v>SanDisk IR</x:v>
      </x:c>
    </x:row>
    <x:row r="9">
      <x:c r="A9" s="35" t="str">
        <x:v>NVIDIA</x:v>
      </x:c>
      <x:c r="B9" s="35" t="str">
        <x:v>Fail</x:v>
      </x:c>
      <x:c r="C9" s="35" t="str">
        <x:v>AI customer / demand signal</x:v>
      </x:c>
      <x:c r="D9" s="35" t="str">
        <x:v>Qualitative</x:v>
      </x:c>
      <x:c r="E9" s="35" t="str">
        <x:v>Fabless GPU platform economics</x:v>
      </x:c>
      <x:c r="F9" s="35" t="str">
        <x:v>NVIDIA IR</x:v>
      </x:c>
    </x:row>
    <x:row r="10">
      <x:c r="A10" s="35" t="str">
        <x:v>TSMC</x:v>
      </x:c>
      <x:c r="B10" s="35" t="str">
        <x:v>Fail</x:v>
      </x:c>
      <x:c r="C10" s="35" t="str">
        <x:v>Packaging / customer capex signal</x:v>
      </x:c>
      <x:c r="D10" s="35" t="str">
        <x:v>Qualitative</x:v>
      </x:c>
      <x:c r="E10" s="35" t="str">
        <x:v>Foundry utilisation economics</x:v>
      </x:c>
      <x:c r="F10" s="35" t="str">
        <x:v>TSMC IR</x:v>
      </x:c>
    </x:row>
    <x:row r="11">
      <x:c r="A11" s="35" t="str">
        <x:v>Broadcom</x:v>
      </x:c>
      <x:c r="B11" s="35" t="str">
        <x:v>Fail</x:v>
      </x:c>
      <x:c r="C11" s="35" t="str">
        <x:v>ASIC / Custom HBM demand signal</x:v>
      </x:c>
      <x:c r="D11" s="35" t="str">
        <x:v>Qualitative</x:v>
      </x:c>
      <x:c r="E11" s="35" t="str">
        <x:v>Asset-light design economics</x:v>
      </x:c>
      <x:c r="F11" s="35" t="str">
        <x:v>Broadcom IR</x:v>
      </x:c>
    </x:row>
    <x:row r="14">
      <x:c r="A14" s="15" t="str">
        <x:v>Micron anchor sensitivity; qualitative factors below are not translated into turns</x:v>
      </x:c>
      <x:c r="B14" s="15" t="str">
        <x:v>Base x</x:v>
      </x:c>
      <x:c r="C14" s="15" t="str">
        <x:v>Bull x</x:v>
      </x:c>
      <x:c r="D14" s="15" t="str">
        <x:v>Bear x</x:v>
      </x:c>
      <x:c r="E14" s="15" t="str">
        <x:v>Active x</x:v>
      </x:c>
      <x:c r="F14" s="15" t="str">
        <x:v>Evidence / removal condition</x:v>
      </x:c>
    </x:row>
    <x:row r="15">
      <x:c r="A15" s="27" t="str">
        <x:v>Micron normalised PER</x:v>
      </x:c>
      <x:c r="B15" s="48" t="n">
        <x:v>8</x:v>
      </x:c>
      <x:c r="C15" s="48" t="n">
        <x:v>9</x:v>
      </x:c>
      <x:c r="D15" s="48" t="n">
        <x:v>6</x:v>
      </x:c>
      <x:c r="E15" s="49" t="n">
        <x:f>IF(Summary!$B$4="Bull",C15,IF(Summary!$B$4="Bear",D15,B15))</x:f>
        <x:v>8</x:v>
      </x:c>
      <x:c r="F15" s="27" t="str">
        <x:v>Direct anchor; use normalised rather than peak EPS</x:v>
      </x:c>
    </x:row>
    <x:row r="16">
      <x:c r="A16" s="27" t="str">
        <x:v>HBM profit mix</x:v>
      </x:c>
      <x:c r="B16" s="48"/>
      <x:c r="C16" s="48"/>
      <x:c r="D16" s="48"/>
      <x:c r="E16" s="49"/>
      <x:c r="F16" s="27" t="str">
        <x:v>Falls if HBM4 ramp/margin disappoints</x:v>
      </x:c>
    </x:row>
    <x:row r="17">
      <x:c r="A17" s="27" t="str">
        <x:v>ROE quality</x:v>
      </x:c>
      <x:c r="B17" s="48"/>
      <x:c r="C17" s="48"/>
      <x:c r="D17" s="48"/>
      <x:c r="E17" s="49"/>
      <x:c r="F17" s="27" t="str">
        <x:v>Requires FCF-backed ROE</x:v>
      </x:c>
    </x:row>
    <x:row r="18">
      <x:c r="A18" s="27" t="str">
        <x:v>Long-term supply visibility</x:v>
      </x:c>
      <x:c r="B18" s="48"/>
      <x:c r="C18" s="48"/>
      <x:c r="D18" s="48"/>
      <x:c r="E18" s="49"/>
      <x:c r="F18" s="27" t="str">
        <x:v>Falls if LTA / qualification visibility fades</x:v>
      </x:c>
    </x:row>
    <x:row r="19">
      <x:c r="A19" s="27" t="str">
        <x:v>Customer concentration</x:v>
      </x:c>
      <x:c r="B19" s="48"/>
      <x:c r="C19" s="48"/>
      <x:c r="D19" s="48"/>
      <x:c r="E19" s="49"/>
      <x:c r="F19" s="27" t="str">
        <x:v>Narrows with confirmed diversification</x:v>
      </x:c>
    </x:row>
    <x:row r="20">
      <x:c r="A20" s="27" t="str">
        <x:v>CAPEX intensity</x:v>
      </x:c>
      <x:c r="B20" s="48"/>
      <x:c r="C20" s="48"/>
      <x:c r="D20" s="48"/>
      <x:c r="E20" s="49"/>
      <x:c r="F20" s="27" t="str">
        <x:v>Narrows only with FCF conversion</x:v>
      </x:c>
    </x:row>
    <x:row r="21">
      <x:c r="A21" s="27" t="str">
        <x:v>Cycle volatility</x:v>
      </x:c>
      <x:c r="B21" s="48"/>
      <x:c r="C21" s="48"/>
      <x:c r="D21" s="48"/>
      <x:c r="E21" s="49"/>
      <x:c r="F21" s="27" t="str">
        <x:v>Narrows with supply discipline</x:v>
      </x:c>
    </x:row>
    <x:row r="22">
      <x:c r="A22" s="27" t="str">
        <x:v>Target PER</x:v>
      </x:c>
      <x:c r="B22" s="27"/>
      <x:c r="C22" s="27"/>
      <x:c r="D22" s="27"/>
      <x:c r="E22" s="49" t="n">
        <x:f>E15</x:f>
        <x:v>8</x:v>
      </x:c>
      <x:c r="F22" s="27" t="str">
        <x:v>Selected direct peer anchor; no uncalibrated premium / discount arithmetic.</x:v>
      </x:c>
    </x:row>
    <x:row r="25">
      <x:c r="A25" s="15" t="str">
        <x:v>PER result</x:v>
      </x:c>
      <x:c r="B25" s="15" t="str">
        <x:v>Value</x:v>
      </x:c>
    </x:row>
    <x:row r="26">
      <x:c r="A26" t="str">
        <x:v>Normalised 2027E EPS</x:v>
      </x:c>
      <x:c r="B26" s="19" t="n">
        <x:f>'Forecast'!C23</x:f>
        <x:v>228571.42857142858</x:v>
      </x:c>
    </x:row>
    <x:row r="27">
      <x:c r="A27" t="str">
        <x:v>Value per share</x:v>
      </x:c>
      <x:c r="B27" s="40" t="n">
        <x:f>B26*E22</x:f>
        <x:v>1828571.4285714286</x:v>
      </x:c>
    </x:row>
    <x:row r="30">
      <x:c r="A30" s="82" t="str">
        <x:v>Peer eligibility and multiple calibration</x:v>
      </x:c>
      <x:c r="B30" s="82"/>
      <x:c r="C30" s="82"/>
      <x:c r="D30" s="82"/>
      <x:c r="E30" s="82"/>
      <x:c r="F30" s="82"/>
    </x:row>
    <x:row r="31">
      <x:c r="A31" s="85" t="str">
        <x:v>Test</x:v>
      </x:c>
      <x:c r="B31" s="86" t="str">
        <x:v>Minimum evidence</x:v>
      </x:c>
      <x:c r="C31" s="86" t="str">
        <x:v>Micron</x:v>
      </x:c>
      <x:c r="D31" s="86" t="str">
        <x:v>Samsung memory</x:v>
      </x:c>
      <x:c r="E31" s="86" t="str">
        <x:v>NAND peers</x:v>
      </x:c>
      <x:c r="F31" s="87" t="str">
        <x:v>If test fails</x:v>
      </x:c>
    </x:row>
    <x:row r="32" ht="36" hidden="0" customHeight="1">
      <x:c r="A32" s="61" t="str">
        <x:v>Earnings source</x:v>
      </x:c>
      <x:c r="B32" s="57" t="str">
        <x:v>Own memory manufacturing is a central profit source; reported and segment data can be reconciled</x:v>
      </x:c>
      <x:c r="C32" s="57" t="str">
        <x:v>Direct anchor candidate</x:v>
      </x:c>
      <x:c r="D32" s="57" t="str">
        <x:v>Segment operations only</x:v>
      </x:c>
      <x:c r="E32" s="57" t="str">
        <x:v>NAND segment only</x:v>
      </x:c>
      <x:c r="F32" s="62" t="str">
        <x:v>Move to operating or product-demand reference</x:v>
      </x:c>
    </x:row>
    <x:row r="33" ht="24" hidden="0" customHeight="1">
      <x:c r="A33" s="61" t="str">
        <x:v>Price cycle</x:v>
      </x:c>
      <x:c r="B33" s="57" t="str">
        <x:v>DRAM/NAND pricing, bit supply and inventory visibly affect earnings</x:v>
      </x:c>
      <x:c r="C33" s="57" t="str">
        <x:v>Direct anchor candidate</x:v>
      </x:c>
      <x:c r="D33" s="57" t="str">
        <x:v>Memory segment only</x:v>
      </x:c>
      <x:c r="E33" s="57" t="str">
        <x:v>NAND cycle only</x:v>
      </x:c>
      <x:c r="F33" s="62" t="str">
        <x:v>Do not combine with DRAM/HBM earnings multiple</x:v>
      </x:c>
    </x:row>
    <x:row r="34" ht="24" hidden="0" customHeight="1">
      <x:c r="A34" s="61" t="str">
        <x:v>Capital intensity</x:v>
      </x:c>
      <x:c r="B34" s="57" t="str">
        <x:v>Own fabs, depreciation, inventory and material CAPEX are in the economics</x:v>
      </x:c>
      <x:c r="C34" s="57" t="str">
        <x:v>Direct anchor candidate</x:v>
      </x:c>
      <x:c r="D34" s="57" t="str">
        <x:v>Segment CAPEX if disclosed</x:v>
      </x:c>
      <x:c r="E34" s="57" t="str">
        <x:v>NAND investment only</x:v>
      </x:c>
      <x:c r="F34" s="62" t="str">
        <x:v>Use for operating checks, not direct PER</x:v>
      </x:c>
    </x:row>
    <x:row r="35" ht="24" hidden="0" customHeight="1">
      <x:c r="A35" s="61" t="str">
        <x:v>Earnings normalisation</x:v>
      </x:c>
      <x:c r="B35" s="57" t="str">
        <x:v>At least one complete up/down cycle or a clearly justified structural break</x:v>
      </x:c>
      <x:c r="C35" s="57" t="str">
        <x:v>Normalize cycle earnings</x:v>
      </x:c>
      <x:c r="D35" s="57" t="str">
        <x:v>Normalize DS segment only</x:v>
      </x:c>
      <x:c r="E35" s="57" t="str">
        <x:v>Normalize NAND cycle only</x:v>
      </x:c>
      <x:c r="F35" s="62" t="str">
        <x:v>Do not use peak/trough EPS PER</x:v>
      </x:c>
    </x:row>
    <x:row r="36" ht="24" hidden="0" customHeight="1">
      <x:c r="A36" s="61" t="str">
        <x:v>Valuation comparability</x:v>
      </x:c>
      <x:c r="B36" s="57" t="str">
        <x:v>Same as-of date for price, FX, shares and net cash; disclose accounting adjustments</x:v>
      </x:c>
      <x:c r="C36" s="57" t="str">
        <x:v>Required</x:v>
      </x:c>
      <x:c r="D36" s="57" t="str">
        <x:v>Required for segment data</x:v>
      </x:c>
      <x:c r="E36" s="57" t="str">
        <x:v>Required</x:v>
      </x:c>
      <x:c r="F36" s="62" t="str">
        <x:v>Show a range or mark unavailable</x:v>
      </x:c>
    </x:row>
    <x:row r="37">
      <x:c r="A37" s="63"/>
      <x:c r="B37" s="64"/>
      <x:c r="C37" s="64"/>
      <x:c r="D37" s="64"/>
      <x:c r="E37" s="64"/>
      <x:c r="F37" s="65"/>
    </x:row>
    <x:row r="38">
      <x:c r="A38" s="83" t="str">
        <x:v>PER bridge evidence policy</x:v>
      </x:c>
      <x:c r="B38" s="82"/>
      <x:c r="C38" s="82"/>
      <x:c r="D38" s="82"/>
      <x:c r="E38" s="82"/>
      <x:c r="F38" s="84"/>
    </x:row>
    <x:row r="39">
      <x:c r="A39" s="88" t="str">
        <x:v>Factor</x:v>
      </x:c>
      <x:c r="B39" s="89" t="str">
        <x:v>Observable input</x:v>
      </x:c>
      <x:c r="C39" s="89" t="str">
        <x:v>Evidence that supports premium</x:v>
      </x:c>
      <x:c r="D39" s="89" t="str">
        <x:v>Evidence that removes premium</x:v>
      </x:c>
      <x:c r="E39" s="89" t="str">
        <x:v>Current workbook treatment</x:v>
      </x:c>
      <x:c r="F39" s="90" t="str">
        <x:v>Review trigger</x:v>
      </x:c>
    </x:row>
    <x:row r="40" ht="24" hidden="0" customHeight="1">
      <x:c r="A40" s="61" t="str">
        <x:v>HBM profit mix</x:v>
      </x:c>
      <x:c r="B40" s="57" t="str">
        <x:v>HBM EBIT/revenue contribution by generation; public actuals separate from estimate</x:v>
      </x:c>
      <x:c r="C40" s="57" t="str">
        <x:v>Sustained shipped volume, yield and cash contribution</x:v>
      </x:c>
      <x:c r="D40" s="57" t="str">
        <x:v>Ramp delay, lower ASP, margin or yield</x:v>
      </x:c>
      <x:c r="E40" s="57" t="str">
        <x:v>Base/Bull/Bear x inputs are analyst scenarios, not calibrated facts</x:v>
      </x:c>
      <x:c r="F40" s="62" t="str">
        <x:v>Each earnings release / qualification update</x:v>
      </x:c>
    </x:row>
    <x:row r="41" ht="24" hidden="0" customHeight="1">
      <x:c r="A41" s="61" t="str">
        <x:v>Growth duration</x:v>
      </x:c>
      <x:c r="B41" s="57" t="str">
        <x:v>Customer qualification, platform adoption, next-generation transition</x:v>
      </x:c>
      <x:c r="C41" s="57" t="str">
        <x:v>Multiple product generations with confirmed customer uptake</x:v>
      </x:c>
      <x:c r="D41" s="57" t="str">
        <x:v>Single product/customer dependence or schedule slip</x:v>
      </x:c>
      <x:c r="E41" s="57" t="str">
        <x:v>Narrative evidence first; no extra multiple without calibration</x:v>
      </x:c>
      <x:c r="F41" s="62" t="str">
        <x:v>Every formal roadmap or earnings update</x:v>
      </x:c>
    </x:row>
    <x:row r="42" ht="24" hidden="0" customHeight="1">
      <x:c r="A42" s="61" t="str">
        <x:v>Cash conversion</x:v>
      </x:c>
      <x:c r="B42" s="57" t="str">
        <x:v>FCF/net income, CAPEX/revenue, inventory and receivable days</x:v>
      </x:c>
      <x:c r="C42" s="57" t="str">
        <x:v>Profit growth converts to FCF after growth investment</x:v>
      </x:c>
      <x:c r="D42" s="57" t="str">
        <x:v>Investment and working capital outgrow operating cash</x:v>
      </x:c>
      <x:c r="E42" s="57" t="str">
        <x:v>Cross-check in DCF; avoid counting same benefit twice</x:v>
      </x:c>
      <x:c r="F42" s="62" t="str">
        <x:v>Quarterly cash flow update</x:v>
      </x:c>
    </x:row>
    <x:row r="43" ht="24" hidden="0" customHeight="1">
      <x:c r="A43" s="61" t="str">
        <x:v>Customer concentration</x:v>
      </x:c>
      <x:c r="B43" s="57" t="str">
        <x:v>Disclosed customer mix or defensible proxy</x:v>
      </x:c>
      <x:c r="C43" s="57" t="str">
        <x:v>Diversification and stable contracted demand</x:v>
      </x:c>
      <x:c r="D43" s="57" t="str">
        <x:v>Order timing depends on few customers</x:v>
      </x:c>
      <x:c r="E43" s="57" t="str">
        <x:v>Scenario haircut only; disclose if data unavailable</x:v>
      </x:c>
      <x:c r="F43" s="62" t="str">
        <x:v>When customer/order disclosure changes</x:v>
      </x:c>
    </x:row>
    <x:row r="44" ht="24" hidden="0" customHeight="1">
      <x:c r="A44" s="70" t="str">
        <x:v>Cycle risk</x:v>
      </x:c>
      <x:c r="B44" s="71" t="str">
        <x:v>ASP, inventory, bit supply and multi-year margins</x:v>
      </x:c>
      <x:c r="C44" s="71" t="str">
        <x:v>Supply discipline and stable mid-cycle return on capital</x:v>
      </x:c>
      <x:c r="D44" s="71" t="str">
        <x:v>Peak-cycle earnings or rapid supply response</x:v>
      </x:c>
      <x:c r="E44" s="71" t="str">
        <x:v>Use cycle-normalised EPS; current x adjustments need backtest</x:v>
      </x:c>
      <x:c r="F44" s="72" t="str">
        <x:v>Full-cycle refresh</x:v>
      </x:c>
    </x:row>
    <x:row r="45" ht="24" hidden="0" customHeight="1">
      <x:c r="A45" s="70" t="str">
        <x:v>Multiple conversion</x:v>
      </x:c>
      <x:c r="B45" s="71" t="str">
        <x:v>Historical peer-relative multiples across dates with same factor definitions</x:v>
      </x:c>
      <x:c r="C45" s="71" t="str">
        <x:v>Observed repeatable relationship and adequate sample</x:v>
      </x:c>
      <x:c r="D45" s="71" t="str">
        <x:v>No history, structural change or unstable coefficient</x:v>
      </x:c>
      <x:c r="E45" s="71" t="str">
        <x:v>No calibrated premium claim until sample, period and error range are shown</x:v>
      </x:c>
      <x:c r="F45" s="72" t="str">
        <x:v>At each annual model 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0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Audit and Refresh Checklist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Checks do not feed valuation outputs. Refresh actuals and cases after every earnings release.</x:v>
      </x:c>
      <x:c r="B2" s="6"/>
      <x:c r="C2" s="6"/>
      <x:c r="D2" s="6"/>
      <x:c r="E2" s="6"/>
      <x:c r="F2" s="6"/>
      <x:c r="G2" s="6"/>
      <x:c r="H2" s="6"/>
    </x:row>
    <x:row r="4">
      <x:c r="A4" s="15" t="str">
        <x:v>Check</x:v>
      </x:c>
      <x:c r="B4" s="15" t="str">
        <x:v>Formula / reference</x:v>
      </x:c>
      <x:c r="C4" s="15" t="str">
        <x:v>Result</x:v>
      </x:c>
      <x:c r="D4" s="15" t="str">
        <x:v>Status</x:v>
      </x:c>
    </x:row>
    <x:row r="5">
      <x:c r="A5" s="35" t="str">
        <x:v>FY25 operating margin</x:v>
      </x:c>
      <x:c r="B5" s="35" t="str">
        <x:v>Actuals 47,206.3 / 97,146.7</x:v>
      </x:c>
      <x:c r="C5" s="30" t="n">
        <x:f>47206.3/97146.7</x:f>
        <x:v>0.4859279831430198</x:v>
      </x:c>
      <x:c r="D5" s="26" t="str">
        <x:v>PASS</x:v>
      </x:c>
    </x:row>
    <x:row r="6">
      <x:c r="A6" s="35" t="str">
        <x:v>H1 2026 revenue</x:v>
      </x:c>
      <x:c r="B6" s="35" t="str">
        <x:v>1Q26 + 2Q26</x:v>
      </x:c>
      <x:c r="C6" s="37" t="n">
        <x:f>52576.3+79318.7</x:f>
        <x:v>131895</x:v>
      </x:c>
      <x:c r="D6" s="26" t="str">
        <x:v>PASS</x:v>
      </x:c>
    </x:row>
    <x:row r="7">
      <x:c r="A7" s="35" t="str">
        <x:v>Net cash</x:v>
      </x:c>
      <x:c r="B7" s="35" t="str">
        <x:v>Cash - debt</x:v>
      </x:c>
      <x:c r="C7" s="37" t="n">
        <x:f>88000-18600</x:f>
        <x:v>69400</x:v>
      </x:c>
      <x:c r="D7" s="26" t="str">
        <x:v>PASS</x:v>
      </x:c>
    </x:row>
    <x:row r="8">
      <x:c r="A8" s="35" t="str">
        <x:v>SOTP value</x:v>
      </x:c>
      <x:c r="B8" s="35" t="str">
        <x:v>EV + net cash / diluted shares</x:v>
      </x:c>
      <x:c r="C8" s="37" t="n">
        <x:f>SOTP!B16</x:f>
        <x:v>2138571.4285714286</x:v>
      </x:c>
      <x:c r="D8" s="26" t="str">
        <x:v>PASS</x:v>
      </x:c>
    </x:row>
    <x:row r="9">
      <x:c r="A9" s="35" t="str">
        <x:v>DCF output</x:v>
      </x:c>
      <x:c r="B9" s="35" t="str">
        <x:v>FCFF + terminal value + net cash</x:v>
      </x:c>
      <x:c r="C9" s="37" t="n">
        <x:f>DCF!B26</x:f>
        <x:v>1678520.4046073235</x:v>
      </x:c>
      <x:c r="D9" s="26" t="str">
        <x:v>PASS</x:v>
      </x:c>
    </x:row>
    <x:row r="10">
      <x:c r="A10" s="35" t="str">
        <x:v>RIM output</x:v>
      </x:c>
      <x:c r="B10" s="35" t="str">
        <x:v>Book value + residual income</x:v>
      </x:c>
      <x:c r="C10" s="37" t="n">
        <x:f>RIM!B22</x:f>
        <x:v>857492.1461555915</x:v>
      </x:c>
      <x:c r="D10" s="26" t="str">
        <x:v>PASS</x:v>
      </x:c>
    </x:row>
    <x:row r="11">
      <x:c r="A11" s="35" t="str">
        <x:v>PER peer rule</x:v>
      </x:c>
      <x:c r="B11" s="35" t="str">
        <x:v>Only Micron passes all direct criteria</x:v>
      </x:c>
      <x:c r="C11" s="35" t="str">
        <x:v>PASS</x:v>
      </x:c>
      <x:c r="D11" s="26" t="str">
        <x:v>PASS</x:v>
      </x:c>
    </x:row>
    <x:row r="14">
      <x:c r="A14" s="15" t="str">
        <x:v>Next refresh</x:v>
      </x:c>
      <x:c r="B14" s="15" t="str">
        <x:v>Required document</x:v>
      </x:c>
      <x:c r="C14" s="15" t="str">
        <x:v>Cells / tabs</x:v>
      </x:c>
      <x:c r="D14" s="15" t="str">
        <x:v>Why</x:v>
      </x:c>
    </x:row>
    <x:row r="15">
      <x:c r="A15" s="35" t="str">
        <x:v>Quarterly earnings</x:v>
      </x:c>
      <x:c r="B15" s="35" t="str">
        <x:v>SK hynix IR + DART</x:v>
      </x:c>
      <x:c r="C15" s="35" t="str">
        <x:v>Actuals &amp; Sources, Forecast</x:v>
      </x:c>
      <x:c r="D15" s="35" t="str">
        <x:v>Actuals, net cash, new guidance</x:v>
      </x:c>
    </x:row>
    <x:row r="16">
      <x:c r="A16" s="35" t="str">
        <x:v>Micron results</x:v>
      </x:c>
      <x:c r="B16" s="35" t="str">
        <x:v>Micron earnings deck / call</x:v>
      </x:c>
      <x:c r="C16" s="35" t="str">
        <x:v>Peer PER</x:v>
      </x:c>
      <x:c r="D16" s="35" t="str">
        <x:v>Normalised anchor and memory cycle</x:v>
      </x:c>
    </x:row>
    <x:row r="17">
      <x:c r="A17" s="35" t="str">
        <x:v>Samsung DS results</x:v>
      </x:c>
      <x:c r="B17" s="35" t="str">
        <x:v>Samsung IR</x:v>
      </x:c>
      <x:c r="C17" s="35" t="str">
        <x:v>Peer PER / SOTP</x:v>
      </x:c>
      <x:c r="D17" s="35" t="str">
        <x:v>Technology and CAPEX reference</x:v>
      </x:c>
    </x:row>
    <x:row r="18">
      <x:c r="A18" s="35" t="str">
        <x:v>NAND peer results</x:v>
      </x:c>
      <x:c r="B18" s="35" t="str">
        <x:v>Kioxia / SanDisk IR</x:v>
      </x:c>
      <x:c r="C18" s="35" t="str">
        <x:v>SOTP NAND</x:v>
      </x:c>
      <x:c r="D18" s="35" t="str">
        <x:v>NAND margin and multiple</x:v>
      </x:c>
    </x:row>
    <x:row r="19">
      <x:c r="A19" s="35" t="str">
        <x:v>Market close</x:v>
      </x:c>
      <x:c r="B19" s="35" t="str">
        <x:v>KRX price history</x:v>
      </x:c>
      <x:c r="C19" s="35" t="str">
        <x:v>Summary</x:v>
      </x:c>
      <x:c r="D19" s="35" t="str">
        <x:v>Upside / downside at a fixed date</x:v>
      </x:c>
    </x:row>
  </x:sheetData>
  <x:mergeCells>
    <x:mergeCell ref="A1:H1"/>
    <x:mergeCell ref="A2:H2"/>
  </x:mergeCells>
  <x:pageMargins left="0.7" right="0.7" top="0.75" bottom="0.75" header="0.3" footer="0.3"/>
</x:worksheet>
</file>