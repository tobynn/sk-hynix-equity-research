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0da7e895c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2a5bc907ba4f4b"/>
    <x:sheet xmlns:r="http://schemas.openxmlformats.org/officeDocument/2006/relationships" name="Scenario Inputs" sheetId="2" r:id="R26e4fbafd2f143b9"/>
    <x:sheet xmlns:r="http://schemas.openxmlformats.org/officeDocument/2006/relationships" name="Vintage Build" sheetId="3" r:id="R809e81b397de4a30"/>
    <x:sheet xmlns:r="http://schemas.openxmlformats.org/officeDocument/2006/relationships" name="Sources" sheetId="4" r:id="R6c5ce7ddecd1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7">
    <x:font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color rgb="FF008000"/>
      <x:name val="Aptos"/>
    </x:font>
    <x:font>
      <x:b/>
      <x:sz val="11"/>
      <x:color rgb="FFFFFFFF"/>
      <x:name val="Aptos"/>
    </x:font>
    <x:font>
      <x:sz val="11"/>
      <x:color rgb="FF0000FF"/>
      <x:name val="Aptos"/>
    </x:font>
    <x:font>
      <x:sz val="11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2" fontId="5" fillId="6" borderId="1" xfId="0" applyNumberFormat="1" applyFont="1" applyFill="1" applyBorder="1"/>
    <x:xf numFmtId="201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200" fontId="6" fillId="7" borderId="1" xfId="0" applyNumberFormat="1" applyFont="1" applyFill="1" applyBorder="1"/>
    <x:xf numFmtId="201" fontId="6" fillId="7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bfaa51fd84d51" /><Relationship Type="http://schemas.openxmlformats.org/officeDocument/2006/relationships/theme" Target="/xl/theme/theme1.xml" Id="R1ccd339ba73d45d4" /><Relationship Type="http://schemas.openxmlformats.org/officeDocument/2006/relationships/sharedStrings" Target="/xl/sharedStrings.xml" Id="R4db3627497194b32" /><Relationship Type="http://schemas.openxmlformats.org/officeDocument/2006/relationships/worksheet" Target="/xl/worksheets/sheet1.xml" Id="Rc22a5bc907ba4f4b" /><Relationship Type="http://schemas.openxmlformats.org/officeDocument/2006/relationships/worksheet" Target="/xl/worksheets/sheet2.xml" Id="R26e4fbafd2f143b9" /><Relationship Type="http://schemas.openxmlformats.org/officeDocument/2006/relationships/worksheet" Target="/xl/worksheets/sheet3.xml" Id="R809e81b397de4a30" /><Relationship Type="http://schemas.openxmlformats.org/officeDocument/2006/relationships/worksheet" Target="/xl/worksheets/sheet4.xml" Id="R6c5ce7ddecd1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</x:cols>
  <x:sheetData>
    <x:row r="1" ht="30" customHeight="1">
      <x:c r="A1" s="3" t="str">
        <x:v>SK hynix HBM Generation Model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Illustrative template only · Replace yellow/blue inputs with sourced assumptions</x:v>
      </x:c>
      <x:c r="B2" s="6"/>
      <x:c r="C2" s="6"/>
      <x:c r="D2" s="6"/>
      <x:c r="E2" s="6"/>
      <x:c r="F2" s="6"/>
      <x:c r="G2" s="6"/>
      <x:c r="H2" s="6"/>
    </x:row>
    <x:row r="4">
      <x:c r="A4" t="str">
        <x:v>Selected Scenario</x:v>
      </x:c>
      <x:c r="B4" s="8" t="str">
        <x:f>'Scenario Inputs'!B3</x:f>
        <x:v>Base</x:v>
      </x:c>
    </x:row>
    <x:row r="6">
      <x:c r="A6" s="14" t="str">
        <x:v>Metric</x:v>
      </x:c>
      <x:c r="B6" s="14" t="str">
        <x:v>2026E</x:v>
      </x:c>
      <x:c r="C6" s="14" t="str">
        <x:v>2027E</x:v>
      </x:c>
      <x:c r="D6" s="14" t="str">
        <x:v>2028E</x:v>
      </x:c>
      <x:c r="E6" s="14" t="str">
        <x:v>2029E</x:v>
      </x:c>
      <x:c r="F6" s="14" t="str">
        <x:v>2030E</x:v>
      </x:c>
    </x:row>
    <x:row r="7">
      <x:c r="A7" t="str">
        <x:v>HBM3E Revenue</x:v>
      </x:c>
      <x:c r="B7" s="15" t="n">
        <x:f>'Vintage Build'!B8</x:f>
        <x:v>1900</x:v>
      </x:c>
      <x:c r="C7" s="15" t="n">
        <x:f>'Vintage Build'!C8</x:f>
        <x:v>1536.48</x:v>
      </x:c>
      <x:c r="D7" s="15" t="n">
        <x:f>'Vintage Build'!D8</x:f>
        <x:v>993.72</x:v>
      </x:c>
      <x:c r="E7" s="15" t="n">
        <x:f>'Vintage Build'!E8</x:f>
        <x:v>480.19999999999993</x:v>
      </x:c>
      <x:c r="F7" s="15" t="n">
        <x:f>'Vintage Build'!F8</x:f>
        <x:v>191.1</x:v>
      </x:c>
    </x:row>
    <x:row r="8">
      <x:c r="A8" t="str">
        <x:v>HBM4 Revenue</x:v>
      </x:c>
      <x:c r="B8" s="15" t="n">
        <x:f>'Vintage Build'!B16</x:f>
        <x:v>612.4999999999999</x:v>
      </x:c>
      <x:c r="C8" s="15" t="n">
        <x:f>'Vintage Build'!C16</x:f>
        <x:v>1869.1200000000001</x:v>
      </x:c>
      <x:c r="D8" s="15" t="n">
        <x:f>'Vintage Build'!D16</x:f>
        <x:v>2793</x:v>
      </x:c>
      <x:c r="E8" s="15" t="n">
        <x:f>'Vintage Build'!E16</x:f>
        <x:v>2677.2</x:v>
      </x:c>
      <x:c r="F8" s="15" t="n">
        <x:f>'Vintage Build'!F16</x:f>
        <x:v>2009</x:v>
      </x:c>
    </x:row>
    <x:row r="9">
      <x:c r="A9" t="str">
        <x:v>HBM4E Revenue</x:v>
      </x:c>
      <x:c r="B9" s="15" t="n">
        <x:f>'Vintage Build'!B24</x:f>
        <x:v>0</x:v>
      </x:c>
      <x:c r="C9" s="15" t="n">
        <x:f>'Vintage Build'!C24</x:f>
        <x:v>308.00000000000006</x:v>
      </x:c>
      <x:c r="D9" s="15" t="n">
        <x:f>'Vintage Build'!D24</x:f>
        <x:v>1456</x:v>
      </x:c>
      <x:c r="E9" s="15" t="n">
        <x:f>'Vintage Build'!E24</x:f>
        <x:v>2605.4399999999996</x:v>
      </x:c>
      <x:c r="F9" s="15" t="n">
        <x:f>'Vintage Build'!F24</x:f>
        <x:v>3124.7999999999997</x:v>
      </x:c>
    </x:row>
    <x:row r="10">
      <x:c r="A10" t="str">
        <x:v>Total HBM Revenue</x:v>
      </x:c>
      <x:c r="B10" s="15" t="n">
        <x:f>'Vintage Build'!B28</x:f>
        <x:v>2512.5</x:v>
      </x:c>
      <x:c r="C10" s="15" t="n">
        <x:f>'Vintage Build'!C28</x:f>
        <x:v>3713.6000000000004</x:v>
      </x:c>
      <x:c r="D10" s="15" t="n">
        <x:f>'Vintage Build'!D28</x:f>
        <x:v>5242.72</x:v>
      </x:c>
      <x:c r="E10" s="15" t="n">
        <x:f>'Vintage Build'!E28</x:f>
        <x:v>5762.839999999999</x:v>
      </x:c>
      <x:c r="F10" s="15" t="n">
        <x:f>'Vintage Build'!F28</x:f>
        <x:v>5324.9</x:v>
      </x:c>
    </x:row>
    <x:row r="11">
      <x:c r="A11" t="str">
        <x:v>HBM EBIT</x:v>
      </x:c>
      <x:c r="B11" s="15" t="n">
        <x:f>'Vintage Build'!B29</x:f>
        <x:v>893.5</x:v>
      </x:c>
      <x:c r="C11" s="15" t="n">
        <x:f>'Vintage Build'!C29</x:f>
        <x:v>1306.5888000000002</x:v>
      </x:c>
      <x:c r="D11" s="15" t="n">
        <x:f>'Vintage Build'!D29</x:f>
        <x:v>1918.4116</x:v>
      </x:c>
      <x:c r="E11" s="15" t="n">
        <x:f>'Vintage Build'!E29</x:f>
        <x:v>2128.7799999999997</x:v>
      </x:c>
      <x:c r="F11" s="15" t="n">
        <x:f>'Vintage Build'!F29</x:f>
        <x:v>1838.879</x:v>
      </x:c>
    </x:row>
    <x:row r="12">
      <x:c r="A12" t="str">
        <x:v>HBM EBIT Margin</x:v>
      </x:c>
      <x:c r="B12" s="16" t="n">
        <x:f>'Vintage Build'!B30</x:f>
        <x:v>0.3556218905472637</x:v>
      </x:c>
      <x:c r="C12" s="16" t="n">
        <x:f>'Vintage Build'!C30</x:f>
        <x:v>0.35183886255924174</x:v>
      </x:c>
      <x:c r="D12" s="16" t="n">
        <x:f>'Vintage Build'!D30</x:f>
        <x:v>0.3659191412091433</x:v>
      </x:c>
      <x:c r="E12" s="16" t="n">
        <x:f>'Vintage Build'!E30</x:f>
        <x:v>0.369397727509353</x:v>
      </x:c>
      <x:c r="F12" s="16" t="n">
        <x:f>'Vintage Build'!F30</x:f>
        <x:v>0.3453358748521099</x:v>
      </x:c>
    </x:row>
    <x:row r="13">
      <x:c r="A13" t="str">
        <x:v>HBM4+ Revenue Mix</x:v>
      </x:c>
      <x:c r="B13" s="16" t="n">
        <x:f>'Vintage Build'!B31</x:f>
        <x:v>0.24378109452736313</x:v>
      </x:c>
      <x:c r="C13" s="16" t="n">
        <x:f>'Vintage Build'!C31</x:f>
        <x:v>0.5862559241706161</x:v>
      </x:c>
      <x:c r="D13" s="16" t="n">
        <x:f>'Vintage Build'!D31</x:f>
        <x:v>0.8104571672719504</x:v>
      </x:c>
      <x:c r="E13" s="16" t="n">
        <x:f>'Vintage Build'!E31</x:f>
        <x:v>0.9166730292702904</x:v>
      </x:c>
      <x:c r="F13" s="16" t="n">
        <x:f>'Vintage Build'!F31</x:f>
        <x:v>0.9641120021033258</x:v>
      </x:c>
    </x:row>
    <x:row r="15">
      <x:c r="A15" s="18" t="str">
        <x:v>Interpretation prompts</x:v>
      </x:c>
      <x:c r="B15" s="18" t="str">
        <x:v>Interpretation prompts</x:v>
      </x:c>
      <x:c r="C15" s="18" t="str">
        <x:v>Interpretation prompts</x:v>
      </x:c>
      <x:c r="D15" s="18" t="str">
        <x:v>Interpretation prompts</x:v>
      </x:c>
      <x:c r="E15" s="18" t="str">
        <x:v>Interpretation prompts</x:v>
      </x:c>
      <x:c r="F15" s="18" t="str">
        <x:v>Interpretation prompts</x:v>
      </x:c>
    </x:row>
    <x:row r="16">
      <x:c r="A16" s="14" t="str">
        <x:v>Question</x:v>
      </x:c>
      <x:c r="B16" s="14" t="str">
        <x:v>Why it matters</x:v>
      </x:c>
      <x:c r="C16" s="14" t="str">
        <x:v>Base case test</x:v>
      </x:c>
      <x:c r="D16" s="14" t="str">
        <x:v>Bull trigger</x:v>
      </x:c>
      <x:c r="E16" s="14" t="str">
        <x:v>Bear trigger</x:v>
      </x:c>
      <x:c r="F16" s="14" t="str">
        <x:v>Owner</x:v>
      </x:c>
    </x:row>
    <x:row r="17">
      <x:c r="A17" s="20" t="str">
        <x:v>Does HBM4 replace HBM3E before ASP erosion dominates?</x:v>
      </x:c>
      <x:c r="B17" s="20" t="str">
        <x:v>Protects mix and margin</x:v>
      </x:c>
      <x:c r="C17" s="20" t="str">
        <x:v>HBM4+ mix rises</x:v>
      </x:c>
      <x:c r="D17" s="20" t="str">
        <x:v>Faster qualification</x:v>
      </x:c>
      <x:c r="E17" s="20" t="str">
        <x:v>Ramp delay</x:v>
      </x:c>
      <x:c r="F17" s="20" t="str">
        <x:v>Analyst</x:v>
      </x:c>
    </x:row>
    <x:row r="18">
      <x:c r="A18" s="20" t="str">
        <x:v>Does yield normalize before volume inflects?</x:v>
      </x:c>
      <x:c r="B18" s="20" t="str">
        <x:v>EBIT lags revenue if not</x:v>
      </x:c>
      <x:c r="C18" s="20" t="str">
        <x:v>Yield reaches target</x:v>
      </x:c>
      <x:c r="D18" s="20" t="str">
        <x:v>Learning curve beats plan</x:v>
      </x:c>
      <x:c r="E18" s="20" t="str">
        <x:v>Scrap/rework persists</x:v>
      </x:c>
      <x:c r="F18" s="20" t="str">
        <x:v>Analyst</x:v>
      </x:c>
    </x:row>
    <x:row r="19">
      <x:c r="A19" s="20" t="str">
        <x:v>Is growth diversified by customer and product?</x:v>
      </x:c>
      <x:c r="B19" s="20" t="str">
        <x:v>Reduces concentration discount</x:v>
      </x:c>
      <x:c r="C19" s="20" t="str">
        <x:v>No single milestone dominates</x:v>
      </x:c>
      <x:c r="D19" s="20" t="str">
        <x:v>Broader adoption</x:v>
      </x:c>
      <x:c r="E19" s="20" t="str">
        <x:v>Customer delay</x:v>
      </x:c>
      <x:c r="F19" s="20" t="str">
        <x:v>Analyst</x:v>
      </x:c>
    </x:row>
  </x:sheetData>
  <x:mergeCells>
    <x:mergeCell ref="A1:H1"/>
    <x:mergeCell ref="A2:H2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</x:cols>
  <x:sheetData>
    <x:row r="1" ht="30" customHeight="1">
      <x:c r="A1" s="3" t="str">
        <x:v>Scenario Inputs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Blue font and yellow fill = user input · Values are illustrative</x:v>
      </x:c>
      <x:c r="B2" s="6"/>
      <x:c r="C2" s="6"/>
      <x:c r="D2" s="6"/>
      <x:c r="E2" s="6"/>
      <x:c r="F2" s="6"/>
      <x:c r="G2" s="6"/>
      <x:c r="H2" s="6"/>
    </x:row>
    <x:row r="3">
      <x:c r="A3" t="str">
        <x:v>Selected Scenario</x:v>
      </x:c>
      <x:c r="B3" s="23" t="str">
        <x:v>Base</x:v>
      </x:c>
    </x:row>
    <x:row r="5">
      <x:c r="A5" s="14" t="str">
        <x:v>Generation / Metric</x:v>
      </x:c>
      <x:c r="B5" s="14" t="str">
        <x:v>Unit</x:v>
      </x:c>
      <x:c r="C5" s="14" t="str">
        <x:v>2026E</x:v>
      </x:c>
      <x:c r="D5" s="14" t="str">
        <x:v>2027E</x:v>
      </x:c>
      <x:c r="E5" s="14" t="str">
        <x:v>2028E</x:v>
      </x:c>
      <x:c r="F5" s="14" t="str">
        <x:v>2029E</x:v>
      </x:c>
      <x:c r="G5" s="14" t="str">
        <x:v>2030E</x:v>
      </x:c>
    </x:row>
    <x:row r="6">
      <x:c r="A6" t="str">
        <x:v>HBM3E Volume Index</x:v>
      </x:c>
      <x:c r="B6" t="str">
        <x:v>Index</x:v>
      </x:c>
      <x:c r="C6" s="24" t="n">
        <x:v>100</x:v>
      </x:c>
      <x:c r="D6" s="24" t="n">
        <x:v>90</x:v>
      </x:c>
      <x:c r="E6" s="24" t="n">
        <x:v>65</x:v>
      </x:c>
      <x:c r="F6" s="24" t="n">
        <x:v>35</x:v>
      </x:c>
      <x:c r="G6" s="24" t="n">
        <x:v>15</x:v>
      </x:c>
    </x:row>
    <x:row r="7">
      <x:c r="A7" t="str">
        <x:v>HBM3E ASP Index</x:v>
      </x:c>
      <x:c r="B7" t="str">
        <x:v>Index</x:v>
      </x:c>
      <x:c r="C7" s="24" t="n">
        <x:v>100</x:v>
      </x:c>
      <x:c r="D7" s="24" t="n">
        <x:v>88</x:v>
      </x:c>
      <x:c r="E7" s="24" t="n">
        <x:v>78</x:v>
      </x:c>
      <x:c r="F7" s="24" t="n">
        <x:v>70</x:v>
      </x:c>
      <x:c r="G7" s="24" t="n">
        <x:v>65</x:v>
      </x:c>
    </x:row>
    <x:row r="8">
      <x:c r="A8" t="str">
        <x:v>HBM3E Yield / Ramp</x:v>
      </x:c>
      <x:c r="B8" t="str">
        <x:v>%</x:v>
      </x:c>
      <x:c r="C8" s="25" t="n">
        <x:v>0.95</x:v>
      </x:c>
      <x:c r="D8" s="25" t="n">
        <x:v>0.97</x:v>
      </x:c>
      <x:c r="E8" s="25" t="n">
        <x:v>0.98</x:v>
      </x:c>
      <x:c r="F8" s="25" t="n">
        <x:v>0.98</x:v>
      </x:c>
      <x:c r="G8" s="25" t="n">
        <x:v>0.98</x:v>
      </x:c>
    </x:row>
    <x:row r="9">
      <x:c r="A9" t="str">
        <x:v>HBM3E EBIT Margin</x:v>
      </x:c>
      <x:c r="B9" t="str">
        <x:v>%</x:v>
      </x:c>
      <x:c r="C9" s="25" t="n">
        <x:v>0.38</x:v>
      </x:c>
      <x:c r="D9" s="25" t="n">
        <x:v>0.34</x:v>
      </x:c>
      <x:c r="E9" s="25" t="n">
        <x:v>0.28</x:v>
      </x:c>
      <x:c r="F9" s="25" t="n">
        <x:v>0.2</x:v>
      </x:c>
      <x:c r="G9" s="25" t="n">
        <x:v>0.15</x:v>
      </x:c>
    </x:row>
    <x:row r="10">
      <x:c r="A10" t="str">
        <x:v>HBM3E Scale</x:v>
      </x:c>
      <x:c r="B10" t="str">
        <x:v>KRW bn / point</x:v>
      </x:c>
      <x:c r="C10" s="24" t="n">
        <x:v>20</x:v>
      </x:c>
      <x:c r="D10" s="24" t="n">
        <x:v>20</x:v>
      </x:c>
      <x:c r="E10" s="24" t="n">
        <x:v>20</x:v>
      </x:c>
      <x:c r="F10" s="24" t="n">
        <x:v>20</x:v>
      </x:c>
      <x:c r="G10" s="24" t="n">
        <x:v>20</x:v>
      </x:c>
    </x:row>
    <x:row r="11">
      <x:c r="A11" t="str"/>
      <x:c r="B11" t="str"/>
      <x:c r="C11" s="24"/>
      <x:c r="D11" s="24"/>
      <x:c r="E11" s="24"/>
      <x:c r="F11" s="24"/>
      <x:c r="G11" s="24"/>
    </x:row>
    <x:row r="12">
      <x:c r="A12" t="str">
        <x:v>HBM4 Volume Index</x:v>
      </x:c>
      <x:c r="B12" t="str">
        <x:v>Index</x:v>
      </x:c>
      <x:c r="C12" s="24" t="n">
        <x:v>35</x:v>
      </x:c>
      <x:c r="D12" s="24" t="n">
        <x:v>90</x:v>
      </x:c>
      <x:c r="E12" s="24" t="n">
        <x:v>140</x:v>
      </x:c>
      <x:c r="F12" s="24" t="n">
        <x:v>150</x:v>
      </x:c>
      <x:c r="G12" s="24" t="n">
        <x:v>125</x:v>
      </x:c>
    </x:row>
    <x:row r="13">
      <x:c r="A13" t="str">
        <x:v>HBM4 ASP Index</x:v>
      </x:c>
      <x:c r="B13" t="str">
        <x:v>Index</x:v>
      </x:c>
      <x:c r="C13" s="24" t="n">
        <x:v>125</x:v>
      </x:c>
      <x:c r="D13" s="24" t="n">
        <x:v>118</x:v>
      </x:c>
      <x:c r="E13" s="24" t="n">
        <x:v>105</x:v>
      </x:c>
      <x:c r="F13" s="24" t="n">
        <x:v>92</x:v>
      </x:c>
      <x:c r="G13" s="24" t="n">
        <x:v>82</x:v>
      </x:c>
    </x:row>
    <x:row r="14">
      <x:c r="A14" t="str">
        <x:v>HBM4 Yield / Ramp</x:v>
      </x:c>
      <x:c r="B14" t="str">
        <x:v>%</x:v>
      </x:c>
      <x:c r="C14" s="25" t="n">
        <x:v>0.7</x:v>
      </x:c>
      <x:c r="D14" s="25" t="n">
        <x:v>0.88</x:v>
      </x:c>
      <x:c r="E14" s="25" t="n">
        <x:v>0.95</x:v>
      </x:c>
      <x:c r="F14" s="25" t="n">
        <x:v>0.97</x:v>
      </x:c>
      <x:c r="G14" s="25" t="n">
        <x:v>0.98</x:v>
      </x:c>
    </x:row>
    <x:row r="15">
      <x:c r="A15" t="str">
        <x:v>HBM4 EBIT Margin</x:v>
      </x:c>
      <x:c r="B15" t="str">
        <x:v>%</x:v>
      </x:c>
      <x:c r="C15" s="25" t="n">
        <x:v>0.28</x:v>
      </x:c>
      <x:c r="D15" s="25" t="n">
        <x:v>0.38</x:v>
      </x:c>
      <x:c r="E15" s="25" t="n">
        <x:v>0.41</x:v>
      </x:c>
      <x:c r="F15" s="25" t="n">
        <x:v>0.37</x:v>
      </x:c>
      <x:c r="G15" s="25" t="n">
        <x:v>0.31</x:v>
      </x:c>
    </x:row>
    <x:row r="16">
      <x:c r="A16" t="str">
        <x:v>HBM4 Scale</x:v>
      </x:c>
      <x:c r="B16" t="str">
        <x:v>KRW bn / point</x:v>
      </x:c>
      <x:c r="C16" s="24" t="n">
        <x:v>20</x:v>
      </x:c>
      <x:c r="D16" s="24" t="n">
        <x:v>20</x:v>
      </x:c>
      <x:c r="E16" s="24" t="n">
        <x:v>20</x:v>
      </x:c>
      <x:c r="F16" s="24" t="n">
        <x:v>20</x:v>
      </x:c>
      <x:c r="G16" s="24" t="n">
        <x:v>20</x:v>
      </x:c>
    </x:row>
    <x:row r="17">
      <x:c r="A17" t="str"/>
      <x:c r="B17" t="str"/>
      <x:c r="C17" s="24"/>
      <x:c r="D17" s="24"/>
      <x:c r="E17" s="24"/>
      <x:c r="F17" s="24"/>
      <x:c r="G17" s="24"/>
    </x:row>
    <x:row r="18">
      <x:c r="A18" t="str">
        <x:v>HBM4E Volume Index</x:v>
      </x:c>
      <x:c r="B18" t="str">
        <x:v>Index</x:v>
      </x:c>
      <x:c r="C18" s="24" t="n">
        <x:v>0</x:v>
      </x:c>
      <x:c r="D18" s="24" t="n">
        <x:v>20</x:v>
      </x:c>
      <x:c r="E18" s="24" t="n">
        <x:v>70</x:v>
      </x:c>
      <x:c r="F18" s="24" t="n">
        <x:v>120</x:v>
      </x:c>
      <x:c r="G18" s="24" t="n">
        <x:v>155</x:v>
      </x:c>
    </x:row>
    <x:row r="19">
      <x:c r="A19" t="str">
        <x:v>HBM4E ASP Index</x:v>
      </x:c>
      <x:c r="B19" t="str">
        <x:v>Index</x:v>
      </x:c>
      <x:c r="C19" s="24" t="n">
        <x:v>145</x:v>
      </x:c>
      <x:c r="D19" s="24" t="n">
        <x:v>140</x:v>
      </x:c>
      <x:c r="E19" s="24" t="n">
        <x:v>130</x:v>
      </x:c>
      <x:c r="F19" s="24" t="n">
        <x:v>118</x:v>
      </x:c>
      <x:c r="G19" s="24" t="n">
        <x:v>105</x:v>
      </x:c>
    </x:row>
    <x:row r="20">
      <x:c r="A20" t="str">
        <x:v>HBM4E Yield / Ramp</x:v>
      </x:c>
      <x:c r="B20" t="str">
        <x:v>%</x:v>
      </x:c>
      <x:c r="C20" s="25" t="n">
        <x:v>0</x:v>
      </x:c>
      <x:c r="D20" s="25" t="n">
        <x:v>0.55</x:v>
      </x:c>
      <x:c r="E20" s="25" t="n">
        <x:v>0.8</x:v>
      </x:c>
      <x:c r="F20" s="25" t="n">
        <x:v>0.92</x:v>
      </x:c>
      <x:c r="G20" s="25" t="n">
        <x:v>0.96</x:v>
      </x:c>
    </x:row>
    <x:row r="21">
      <x:c r="A21" t="str">
        <x:v>HBM4E EBIT Margin</x:v>
      </x:c>
      <x:c r="B21" t="str">
        <x:v>%</x:v>
      </x:c>
      <x:c r="C21" s="25" t="n">
        <x:v>0.2</x:v>
      </x:c>
      <x:c r="D21" s="25" t="n">
        <x:v>0.24</x:v>
      </x:c>
      <x:c r="E21" s="25" t="n">
        <x:v>0.34</x:v>
      </x:c>
      <x:c r="F21" s="25" t="n">
        <x:v>0.4</x:v>
      </x:c>
      <x:c r="G21" s="25" t="n">
        <x:v>0.38</x:v>
      </x:c>
    </x:row>
    <x:row r="22">
      <x:c r="A22" t="str">
        <x:v>HBM4E Scale</x:v>
      </x:c>
      <x:c r="B22" t="str">
        <x:v>KRW bn / point</x:v>
      </x:c>
      <x:c r="C22" s="24" t="n">
        <x:v>20</x:v>
      </x:c>
      <x:c r="D22" s="24" t="n">
        <x:v>20</x:v>
      </x:c>
      <x:c r="E22" s="24" t="n">
        <x:v>20</x:v>
      </x:c>
      <x:c r="F22" s="24" t="n">
        <x:v>20</x:v>
      </x:c>
      <x:c r="G22" s="24" t="n">
        <x:v>20</x:v>
      </x:c>
    </x:row>
    <x:row r="25">
      <x:c r="A25" s="14" t="str">
        <x:v>Scenario</x:v>
      </x:c>
      <x:c r="B25" s="14" t="str">
        <x:v>Volume Mult.</x:v>
      </x:c>
      <x:c r="C25" s="14" t="str">
        <x:v>ASP Mult.</x:v>
      </x:c>
      <x:c r="D25" s="14" t="str">
        <x:v>Yield Delta</x:v>
      </x:c>
      <x:c r="E25" s="14" t="str">
        <x:v>Margin Delta</x:v>
      </x:c>
    </x:row>
    <x:row r="26">
      <x:c r="A26" t="str">
        <x:v>Base</x:v>
      </x:c>
      <x:c r="B26" s="25" t="n">
        <x:v>1</x:v>
      </x:c>
      <x:c r="C26" s="25" t="n">
        <x:v>1</x:v>
      </x:c>
      <x:c r="D26" s="25" t="n">
        <x:v>0</x:v>
      </x:c>
      <x:c r="E26" s="25" t="n">
        <x:v>0</x:v>
      </x:c>
    </x:row>
    <x:row r="27">
      <x:c r="A27" t="str">
        <x:v>Bull</x:v>
      </x:c>
      <x:c r="B27" s="25" t="n">
        <x:v>1.12</x:v>
      </x:c>
      <x:c r="C27" s="25" t="n">
        <x:v>1.06</x:v>
      </x:c>
      <x:c r="D27" s="25" t="n">
        <x:v>0.03</x:v>
      </x:c>
      <x:c r="E27" s="25" t="n">
        <x:v>0.03</x:v>
      </x:c>
    </x:row>
    <x:row r="28">
      <x:c r="A28" t="str">
        <x:v>Bear</x:v>
      </x:c>
      <x:c r="B28" s="25" t="n">
        <x:v>0.82</x:v>
      </x:c>
      <x:c r="C28" s="25" t="n">
        <x:v>0.9</x:v>
      </x:c>
      <x:c r="D28" s="25" t="n">
        <x:v>-0.06</x:v>
      </x:c>
      <x:c r="E28" s="25" t="n">
        <x:v>-0.06</x:v>
      </x:c>
    </x:row>
  </x:sheetData>
  <x:mergeCells>
    <x:mergeCell ref="A1:H1"/>
    <x:mergeCell ref="A2:H2"/>
  </x:mergeCells>
  <x:dataValidations count="1">
    <x:dataValidation type="list" sqref="B3">
      <x:formula1>"Base,Bull,Bear"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3" hidden="0" customWidth="1"/>
  </x:cols>
  <x:sheetData>
    <x:row r="1" ht="30" customHeight="1">
      <x:c r="A1" s="3" t="str">
        <x:v>HBM Vintage Build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Revenue = Volume index × ASP index × Yield/Ramp × Scale; scenario multipliers are explicit</x:v>
      </x:c>
      <x:c r="B2" s="6"/>
      <x:c r="C2" s="6"/>
      <x:c r="D2" s="6"/>
      <x:c r="E2" s="6"/>
      <x:c r="F2" s="6"/>
      <x:c r="G2" s="6"/>
      <x:c r="H2" s="6"/>
    </x:row>
    <x:row r="3">
      <x:c r="A3" s="14" t="str">
        <x:v>Metric</x:v>
      </x:c>
      <x:c r="B3" s="14" t="str">
        <x:v>2026E</x:v>
      </x:c>
      <x:c r="C3" s="14" t="str">
        <x:v>2027E</x:v>
      </x:c>
      <x:c r="D3" s="14" t="str">
        <x:v>2028E</x:v>
      </x:c>
      <x:c r="E3" s="14" t="str">
        <x:v>2029E</x:v>
      </x:c>
      <x:c r="F3" s="14" t="str">
        <x:v>2030E</x:v>
      </x:c>
    </x:row>
    <x:row r="5">
      <x:c r="A5" t="str">
        <x:v>HBM3E Volume</x:v>
      </x:c>
      <x:c r="B5" s="8" t="n">
        <x:f>'Scenario Inputs'!C6*(IF('Scenario Inputs'!$B$3="Bull",'Scenario Inputs'!$B$27,IF('Scenario Inputs'!$B$3="Bear",'Scenario Inputs'!$B$28,'Scenario Inputs'!$B$26)))</x:f>
        <x:v>100</x:v>
      </x:c>
      <x:c r="C5" s="8" t="n">
        <x:f>'Scenario Inputs'!D6*(IF('Scenario Inputs'!$B$3="Bull",'Scenario Inputs'!$B$27,IF('Scenario Inputs'!$B$3="Bear",'Scenario Inputs'!$B$28,'Scenario Inputs'!$B$26)))</x:f>
        <x:v>90</x:v>
      </x:c>
      <x:c r="D5" s="8" t="n">
        <x:f>'Scenario Inputs'!E6*(IF('Scenario Inputs'!$B$3="Bull",'Scenario Inputs'!$B$27,IF('Scenario Inputs'!$B$3="Bear",'Scenario Inputs'!$B$28,'Scenario Inputs'!$B$26)))</x:f>
        <x:v>65</x:v>
      </x:c>
      <x:c r="E5" s="8" t="n">
        <x:f>'Scenario Inputs'!F6*(IF('Scenario Inputs'!$B$3="Bull",'Scenario Inputs'!$B$27,IF('Scenario Inputs'!$B$3="Bear",'Scenario Inputs'!$B$28,'Scenario Inputs'!$B$26)))</x:f>
        <x:v>35</x:v>
      </x:c>
      <x:c r="F5" s="8" t="n">
        <x:f>'Scenario Inputs'!G6*(IF('Scenario Inputs'!$B$3="Bull",'Scenario Inputs'!$B$27,IF('Scenario Inputs'!$B$3="Bear",'Scenario Inputs'!$B$28,'Scenario Inputs'!$B$26)))</x:f>
        <x:v>15</x:v>
      </x:c>
    </x:row>
    <x:row r="6">
      <x:c r="A6" t="str">
        <x:v>HBM3E ASP</x:v>
      </x:c>
      <x:c r="B6" s="8" t="n">
        <x:f>'Scenario Inputs'!C7*(IF('Scenario Inputs'!$B$3="Bull",'Scenario Inputs'!$C$27,IF('Scenario Inputs'!$B$3="Bear",'Scenario Inputs'!$C$28,'Scenario Inputs'!$C$26)))</x:f>
        <x:v>100</x:v>
      </x:c>
      <x:c r="C6" s="8" t="n">
        <x:f>'Scenario Inputs'!D7*(IF('Scenario Inputs'!$B$3="Bull",'Scenario Inputs'!$C$27,IF('Scenario Inputs'!$B$3="Bear",'Scenario Inputs'!$C$28,'Scenario Inputs'!$C$26)))</x:f>
        <x:v>88</x:v>
      </x:c>
      <x:c r="D6" s="8" t="n">
        <x:f>'Scenario Inputs'!E7*(IF('Scenario Inputs'!$B$3="Bull",'Scenario Inputs'!$C$27,IF('Scenario Inputs'!$B$3="Bear",'Scenario Inputs'!$C$28,'Scenario Inputs'!$C$26)))</x:f>
        <x:v>78</x:v>
      </x:c>
      <x:c r="E6" s="8" t="n">
        <x:f>'Scenario Inputs'!F7*(IF('Scenario Inputs'!$B$3="Bull",'Scenario Inputs'!$C$27,IF('Scenario Inputs'!$B$3="Bear",'Scenario Inputs'!$C$28,'Scenario Inputs'!$C$26)))</x:f>
        <x:v>70</x:v>
      </x:c>
      <x:c r="F6" s="8" t="n">
        <x:f>'Scenario Inputs'!G7*(IF('Scenario Inputs'!$B$3="Bull",'Scenario Inputs'!$C$27,IF('Scenario Inputs'!$B$3="Bear",'Scenario Inputs'!$C$28,'Scenario Inputs'!$C$26)))</x:f>
        <x:v>65</x:v>
      </x:c>
    </x:row>
    <x:row r="7">
      <x:c r="A7" t="str">
        <x:v>HBM3E Yield / Ramp</x:v>
      </x:c>
      <x:c r="B7" s="16" t="n">
        <x:f>MIN(1,'Scenario Inputs'!C8+(IF('Scenario Inputs'!$B$3="Bull",'Scenario Inputs'!$D$27,IF('Scenario Inputs'!$B$3="Bear",'Scenario Inputs'!$D$28,'Scenario Inputs'!$D$26))))</x:f>
        <x:v>0.95</x:v>
      </x:c>
      <x:c r="C7" s="16" t="n">
        <x:f>MIN(1,'Scenario Inputs'!D8+(IF('Scenario Inputs'!$B$3="Bull",'Scenario Inputs'!$D$27,IF('Scenario Inputs'!$B$3="Bear",'Scenario Inputs'!$D$28,'Scenario Inputs'!$D$26))))</x:f>
        <x:v>0.97</x:v>
      </x:c>
      <x:c r="D7" s="16" t="n">
        <x:f>MIN(1,'Scenario Inputs'!E8+(IF('Scenario Inputs'!$B$3="Bull",'Scenario Inputs'!$D$27,IF('Scenario Inputs'!$B$3="Bear",'Scenario Inputs'!$D$28,'Scenario Inputs'!$D$26))))</x:f>
        <x:v>0.98</x:v>
      </x:c>
      <x:c r="E7" s="16" t="n">
        <x:f>MIN(1,'Scenario Inputs'!F8+(IF('Scenario Inputs'!$B$3="Bull",'Scenario Inputs'!$D$27,IF('Scenario Inputs'!$B$3="Bear",'Scenario Inputs'!$D$28,'Scenario Inputs'!$D$26))))</x:f>
        <x:v>0.98</x:v>
      </x:c>
      <x:c r="F7" s="16" t="n">
        <x:f>MIN(1,'Scenario Inputs'!G8+(IF('Scenario Inputs'!$B$3="Bull",'Scenario Inputs'!$D$27,IF('Scenario Inputs'!$B$3="Bear",'Scenario Inputs'!$D$28,'Scenario Inputs'!$D$26))))</x:f>
        <x:v>0.98</x:v>
      </x:c>
    </x:row>
    <x:row r="8">
      <x:c r="A8" t="str">
        <x:v>HBM3E Revenue</x:v>
      </x:c>
      <x:c r="B8" s="15" t="n">
        <x:f>B5*B6/100*B7*'Scenario Inputs'!C10</x:f>
        <x:v>1900</x:v>
      </x:c>
      <x:c r="C8" s="15" t="n">
        <x:f>C5*C6/100*C7*'Scenario Inputs'!D10</x:f>
        <x:v>1536.48</x:v>
      </x:c>
      <x:c r="D8" s="15" t="n">
        <x:f>D5*D6/100*D7*'Scenario Inputs'!E10</x:f>
        <x:v>993.72</x:v>
      </x:c>
      <x:c r="E8" s="15" t="n">
        <x:f>E5*E6/100*E7*'Scenario Inputs'!F10</x:f>
        <x:v>480.19999999999993</x:v>
      </x:c>
      <x:c r="F8" s="15" t="n">
        <x:f>F5*F6/100*F7*'Scenario Inputs'!G10</x:f>
        <x:v>191.1</x:v>
      </x:c>
    </x:row>
    <x:row r="9">
      <x:c r="A9" t="str">
        <x:v>HBM3E EBIT Margin</x:v>
      </x:c>
      <x:c r="B9" s="16" t="n">
        <x:f>'Scenario Inputs'!C9+(IF('Scenario Inputs'!$B$3="Bull",'Scenario Inputs'!$E$27,IF('Scenario Inputs'!$B$3="Bear",'Scenario Inputs'!$E$28,'Scenario Inputs'!$E$26)))</x:f>
        <x:v>0.38</x:v>
      </x:c>
      <x:c r="C9" s="16" t="n">
        <x:f>'Scenario Inputs'!D9+(IF('Scenario Inputs'!$B$3="Bull",'Scenario Inputs'!$E$27,IF('Scenario Inputs'!$B$3="Bear",'Scenario Inputs'!$E$28,'Scenario Inputs'!$E$26)))</x:f>
        <x:v>0.34</x:v>
      </x:c>
      <x:c r="D9" s="16" t="n">
        <x:f>'Scenario Inputs'!E9+(IF('Scenario Inputs'!$B$3="Bull",'Scenario Inputs'!$E$27,IF('Scenario Inputs'!$B$3="Bear",'Scenario Inputs'!$E$28,'Scenario Inputs'!$E$26)))</x:f>
        <x:v>0.28</x:v>
      </x:c>
      <x:c r="E9" s="16" t="n">
        <x:f>'Scenario Inputs'!F9+(IF('Scenario Inputs'!$B$3="Bull",'Scenario Inputs'!$E$27,IF('Scenario Inputs'!$B$3="Bear",'Scenario Inputs'!$E$28,'Scenario Inputs'!$E$26)))</x:f>
        <x:v>0.2</x:v>
      </x:c>
      <x:c r="F9" s="16" t="n">
        <x:f>'Scenario Inputs'!G9+(IF('Scenario Inputs'!$B$3="Bull",'Scenario Inputs'!$E$27,IF('Scenario Inputs'!$B$3="Bear",'Scenario Inputs'!$E$28,'Scenario Inputs'!$E$26)))</x:f>
        <x:v>0.15</x:v>
      </x:c>
    </x:row>
    <x:row r="10">
      <x:c r="A10" t="str">
        <x:v>HBM3E EBIT</x:v>
      </x:c>
      <x:c r="B10" s="15" t="n">
        <x:f>B8*B9</x:f>
        <x:v>722</x:v>
      </x:c>
      <x:c r="C10" s="15" t="n">
        <x:f>C8*C9</x:f>
        <x:v>522.4032000000001</x:v>
      </x:c>
      <x:c r="D10" s="15" t="n">
        <x:f>D8*D9</x:f>
        <x:v>278.24160000000006</x:v>
      </x:c>
      <x:c r="E10" s="15" t="n">
        <x:f>E8*E9</x:f>
        <x:v>96.03999999999999</x:v>
      </x:c>
      <x:c r="F10" s="15" t="n">
        <x:f>F8*F9</x:f>
        <x:v>28.665</x:v>
      </x:c>
    </x:row>
    <x:row r="13">
      <x:c r="A13" t="str">
        <x:v>HBM4 Volume</x:v>
      </x:c>
      <x:c r="B13" s="8" t="n">
        <x:f>'Scenario Inputs'!C12*(IF('Scenario Inputs'!$B$3="Bull",'Scenario Inputs'!$B$27,IF('Scenario Inputs'!$B$3="Bear",'Scenario Inputs'!$B$28,'Scenario Inputs'!$B$26)))</x:f>
        <x:v>35</x:v>
      </x:c>
      <x:c r="C13" s="8" t="n">
        <x:f>'Scenario Inputs'!D12*(IF('Scenario Inputs'!$B$3="Bull",'Scenario Inputs'!$B$27,IF('Scenario Inputs'!$B$3="Bear",'Scenario Inputs'!$B$28,'Scenario Inputs'!$B$26)))</x:f>
        <x:v>90</x:v>
      </x:c>
      <x:c r="D13" s="8" t="n">
        <x:f>'Scenario Inputs'!E12*(IF('Scenario Inputs'!$B$3="Bull",'Scenario Inputs'!$B$27,IF('Scenario Inputs'!$B$3="Bear",'Scenario Inputs'!$B$28,'Scenario Inputs'!$B$26)))</x:f>
        <x:v>140</x:v>
      </x:c>
      <x:c r="E13" s="8" t="n">
        <x:f>'Scenario Inputs'!F12*(IF('Scenario Inputs'!$B$3="Bull",'Scenario Inputs'!$B$27,IF('Scenario Inputs'!$B$3="Bear",'Scenario Inputs'!$B$28,'Scenario Inputs'!$B$26)))</x:f>
        <x:v>150</x:v>
      </x:c>
      <x:c r="F13" s="8" t="n">
        <x:f>'Scenario Inputs'!G12*(IF('Scenario Inputs'!$B$3="Bull",'Scenario Inputs'!$B$27,IF('Scenario Inputs'!$B$3="Bear",'Scenario Inputs'!$B$28,'Scenario Inputs'!$B$26)))</x:f>
        <x:v>125</x:v>
      </x:c>
    </x:row>
    <x:row r="14">
      <x:c r="A14" t="str">
        <x:v>HBM4 ASP</x:v>
      </x:c>
      <x:c r="B14" s="8" t="n">
        <x:f>'Scenario Inputs'!C13*(IF('Scenario Inputs'!$B$3="Bull",'Scenario Inputs'!$C$27,IF('Scenario Inputs'!$B$3="Bear",'Scenario Inputs'!$C$28,'Scenario Inputs'!$C$26)))</x:f>
        <x:v>125</x:v>
      </x:c>
      <x:c r="C14" s="8" t="n">
        <x:f>'Scenario Inputs'!D13*(IF('Scenario Inputs'!$B$3="Bull",'Scenario Inputs'!$C$27,IF('Scenario Inputs'!$B$3="Bear",'Scenario Inputs'!$C$28,'Scenario Inputs'!$C$26)))</x:f>
        <x:v>118</x:v>
      </x:c>
      <x:c r="D14" s="8" t="n">
        <x:f>'Scenario Inputs'!E13*(IF('Scenario Inputs'!$B$3="Bull",'Scenario Inputs'!$C$27,IF('Scenario Inputs'!$B$3="Bear",'Scenario Inputs'!$C$28,'Scenario Inputs'!$C$26)))</x:f>
        <x:v>105</x:v>
      </x:c>
      <x:c r="E14" s="8" t="n">
        <x:f>'Scenario Inputs'!F13*(IF('Scenario Inputs'!$B$3="Bull",'Scenario Inputs'!$C$27,IF('Scenario Inputs'!$B$3="Bear",'Scenario Inputs'!$C$28,'Scenario Inputs'!$C$26)))</x:f>
        <x:v>92</x:v>
      </x:c>
      <x:c r="F14" s="8" t="n">
        <x:f>'Scenario Inputs'!G13*(IF('Scenario Inputs'!$B$3="Bull",'Scenario Inputs'!$C$27,IF('Scenario Inputs'!$B$3="Bear",'Scenario Inputs'!$C$28,'Scenario Inputs'!$C$26)))</x:f>
        <x:v>82</x:v>
      </x:c>
    </x:row>
    <x:row r="15">
      <x:c r="A15" t="str">
        <x:v>HBM4 Yield / Ramp</x:v>
      </x:c>
      <x:c r="B15" s="16" t="n">
        <x:f>MIN(1,'Scenario Inputs'!C14+(IF('Scenario Inputs'!$B$3="Bull",'Scenario Inputs'!$D$27,IF('Scenario Inputs'!$B$3="Bear",'Scenario Inputs'!$D$28,'Scenario Inputs'!$D$26))))</x:f>
        <x:v>0.7</x:v>
      </x:c>
      <x:c r="C15" s="16" t="n">
        <x:f>MIN(1,'Scenario Inputs'!D14+(IF('Scenario Inputs'!$B$3="Bull",'Scenario Inputs'!$D$27,IF('Scenario Inputs'!$B$3="Bear",'Scenario Inputs'!$D$28,'Scenario Inputs'!$D$26))))</x:f>
        <x:v>0.88</x:v>
      </x:c>
      <x:c r="D15" s="16" t="n">
        <x:f>MIN(1,'Scenario Inputs'!E14+(IF('Scenario Inputs'!$B$3="Bull",'Scenario Inputs'!$D$27,IF('Scenario Inputs'!$B$3="Bear",'Scenario Inputs'!$D$28,'Scenario Inputs'!$D$26))))</x:f>
        <x:v>0.95</x:v>
      </x:c>
      <x:c r="E15" s="16" t="n">
        <x:f>MIN(1,'Scenario Inputs'!F14+(IF('Scenario Inputs'!$B$3="Bull",'Scenario Inputs'!$D$27,IF('Scenario Inputs'!$B$3="Bear",'Scenario Inputs'!$D$28,'Scenario Inputs'!$D$26))))</x:f>
        <x:v>0.97</x:v>
      </x:c>
      <x:c r="F15" s="16" t="n">
        <x:f>MIN(1,'Scenario Inputs'!G14+(IF('Scenario Inputs'!$B$3="Bull",'Scenario Inputs'!$D$27,IF('Scenario Inputs'!$B$3="Bear",'Scenario Inputs'!$D$28,'Scenario Inputs'!$D$26))))</x:f>
        <x:v>0.98</x:v>
      </x:c>
    </x:row>
    <x:row r="16">
      <x:c r="A16" t="str">
        <x:v>HBM4 Revenue</x:v>
      </x:c>
      <x:c r="B16" s="15" t="n">
        <x:f>B13*B14/100*B15*'Scenario Inputs'!C16</x:f>
        <x:v>612.4999999999999</x:v>
      </x:c>
      <x:c r="C16" s="15" t="n">
        <x:f>C13*C14/100*C15*'Scenario Inputs'!D16</x:f>
        <x:v>1869.1200000000001</x:v>
      </x:c>
      <x:c r="D16" s="15" t="n">
        <x:f>D13*D14/100*D15*'Scenario Inputs'!E16</x:f>
        <x:v>2793</x:v>
      </x:c>
      <x:c r="E16" s="15" t="n">
        <x:f>E13*E14/100*E15*'Scenario Inputs'!F16</x:f>
        <x:v>2677.2</x:v>
      </x:c>
      <x:c r="F16" s="15" t="n">
        <x:f>F13*F14/100*F15*'Scenario Inputs'!G16</x:f>
        <x:v>2009</x:v>
      </x:c>
    </x:row>
    <x:row r="17">
      <x:c r="A17" t="str">
        <x:v>HBM4 EBIT Margin</x:v>
      </x:c>
      <x:c r="B17" s="16" t="n">
        <x:f>'Scenario Inputs'!C15+(IF('Scenario Inputs'!$B$3="Bull",'Scenario Inputs'!$E$27,IF('Scenario Inputs'!$B$3="Bear",'Scenario Inputs'!$E$28,'Scenario Inputs'!$E$26)))</x:f>
        <x:v>0.28</x:v>
      </x:c>
      <x:c r="C17" s="16" t="n">
        <x:f>'Scenario Inputs'!D15+(IF('Scenario Inputs'!$B$3="Bull",'Scenario Inputs'!$E$27,IF('Scenario Inputs'!$B$3="Bear",'Scenario Inputs'!$E$28,'Scenario Inputs'!$E$26)))</x:f>
        <x:v>0.38</x:v>
      </x:c>
      <x:c r="D17" s="16" t="n">
        <x:f>'Scenario Inputs'!E15+(IF('Scenario Inputs'!$B$3="Bull",'Scenario Inputs'!$E$27,IF('Scenario Inputs'!$B$3="Bear",'Scenario Inputs'!$E$28,'Scenario Inputs'!$E$26)))</x:f>
        <x:v>0.41</x:v>
      </x:c>
      <x:c r="E17" s="16" t="n">
        <x:f>'Scenario Inputs'!F15+(IF('Scenario Inputs'!$B$3="Bull",'Scenario Inputs'!$E$27,IF('Scenario Inputs'!$B$3="Bear",'Scenario Inputs'!$E$28,'Scenario Inputs'!$E$26)))</x:f>
        <x:v>0.37</x:v>
      </x:c>
      <x:c r="F17" s="16" t="n">
        <x:f>'Scenario Inputs'!G15+(IF('Scenario Inputs'!$B$3="Bull",'Scenario Inputs'!$E$27,IF('Scenario Inputs'!$B$3="Bear",'Scenario Inputs'!$E$28,'Scenario Inputs'!$E$26)))</x:f>
        <x:v>0.31</x:v>
      </x:c>
    </x:row>
    <x:row r="18">
      <x:c r="A18" t="str">
        <x:v>HBM4 EBIT</x:v>
      </x:c>
      <x:c r="B18" s="15" t="n">
        <x:f>B16*B17</x:f>
        <x:v>171.49999999999997</x:v>
      </x:c>
      <x:c r="C18" s="15" t="n">
        <x:f>C16*C17</x:f>
        <x:v>710.2656000000001</x:v>
      </x:c>
      <x:c r="D18" s="15" t="n">
        <x:f>D16*D17</x:f>
        <x:v>1145.1299999999999</x:v>
      </x:c>
      <x:c r="E18" s="15" t="n">
        <x:f>E16*E17</x:f>
        <x:v>990.564</x:v>
      </x:c>
      <x:c r="F18" s="15" t="n">
        <x:f>F16*F17</x:f>
        <x:v>622.79</x:v>
      </x:c>
    </x:row>
    <x:row r="21">
      <x:c r="A21" t="str">
        <x:v>HBM4E Volume</x:v>
      </x:c>
      <x:c r="B21" s="8" t="n">
        <x:f>'Scenario Inputs'!C18*(IF('Scenario Inputs'!$B$3="Bull",'Scenario Inputs'!$B$27,IF('Scenario Inputs'!$B$3="Bear",'Scenario Inputs'!$B$28,'Scenario Inputs'!$B$26)))</x:f>
        <x:v>0</x:v>
      </x:c>
      <x:c r="C21" s="8" t="n">
        <x:f>'Scenario Inputs'!D18*(IF('Scenario Inputs'!$B$3="Bull",'Scenario Inputs'!$B$27,IF('Scenario Inputs'!$B$3="Bear",'Scenario Inputs'!$B$28,'Scenario Inputs'!$B$26)))</x:f>
        <x:v>20</x:v>
      </x:c>
      <x:c r="D21" s="8" t="n">
        <x:f>'Scenario Inputs'!E18*(IF('Scenario Inputs'!$B$3="Bull",'Scenario Inputs'!$B$27,IF('Scenario Inputs'!$B$3="Bear",'Scenario Inputs'!$B$28,'Scenario Inputs'!$B$26)))</x:f>
        <x:v>70</x:v>
      </x:c>
      <x:c r="E21" s="8" t="n">
        <x:f>'Scenario Inputs'!F18*(IF('Scenario Inputs'!$B$3="Bull",'Scenario Inputs'!$B$27,IF('Scenario Inputs'!$B$3="Bear",'Scenario Inputs'!$B$28,'Scenario Inputs'!$B$26)))</x:f>
        <x:v>120</x:v>
      </x:c>
      <x:c r="F21" s="8" t="n">
        <x:f>'Scenario Inputs'!G18*(IF('Scenario Inputs'!$B$3="Bull",'Scenario Inputs'!$B$27,IF('Scenario Inputs'!$B$3="Bear",'Scenario Inputs'!$B$28,'Scenario Inputs'!$B$26)))</x:f>
        <x:v>155</x:v>
      </x:c>
    </x:row>
    <x:row r="22">
      <x:c r="A22" t="str">
        <x:v>HBM4E ASP</x:v>
      </x:c>
      <x:c r="B22" s="8" t="n">
        <x:f>'Scenario Inputs'!C19*(IF('Scenario Inputs'!$B$3="Bull",'Scenario Inputs'!$C$27,IF('Scenario Inputs'!$B$3="Bear",'Scenario Inputs'!$C$28,'Scenario Inputs'!$C$26)))</x:f>
        <x:v>145</x:v>
      </x:c>
      <x:c r="C22" s="8" t="n">
        <x:f>'Scenario Inputs'!D19*(IF('Scenario Inputs'!$B$3="Bull",'Scenario Inputs'!$C$27,IF('Scenario Inputs'!$B$3="Bear",'Scenario Inputs'!$C$28,'Scenario Inputs'!$C$26)))</x:f>
        <x:v>140</x:v>
      </x:c>
      <x:c r="D22" s="8" t="n">
        <x:f>'Scenario Inputs'!E19*(IF('Scenario Inputs'!$B$3="Bull",'Scenario Inputs'!$C$27,IF('Scenario Inputs'!$B$3="Bear",'Scenario Inputs'!$C$28,'Scenario Inputs'!$C$26)))</x:f>
        <x:v>130</x:v>
      </x:c>
      <x:c r="E22" s="8" t="n">
        <x:f>'Scenario Inputs'!F19*(IF('Scenario Inputs'!$B$3="Bull",'Scenario Inputs'!$C$27,IF('Scenario Inputs'!$B$3="Bear",'Scenario Inputs'!$C$28,'Scenario Inputs'!$C$26)))</x:f>
        <x:v>118</x:v>
      </x:c>
      <x:c r="F22" s="8" t="n">
        <x:f>'Scenario Inputs'!G19*(IF('Scenario Inputs'!$B$3="Bull",'Scenario Inputs'!$C$27,IF('Scenario Inputs'!$B$3="Bear",'Scenario Inputs'!$C$28,'Scenario Inputs'!$C$26)))</x:f>
        <x:v>105</x:v>
      </x:c>
    </x:row>
    <x:row r="23">
      <x:c r="A23" t="str">
        <x:v>HBM4E Yield / Ramp</x:v>
      </x:c>
      <x:c r="B23" s="16" t="n">
        <x:f>MIN(1,'Scenario Inputs'!C20+(IF('Scenario Inputs'!$B$3="Bull",'Scenario Inputs'!$D$27,IF('Scenario Inputs'!$B$3="Bear",'Scenario Inputs'!$D$28,'Scenario Inputs'!$D$26))))</x:f>
        <x:v>0</x:v>
      </x:c>
      <x:c r="C23" s="16" t="n">
        <x:f>MIN(1,'Scenario Inputs'!D20+(IF('Scenario Inputs'!$B$3="Bull",'Scenario Inputs'!$D$27,IF('Scenario Inputs'!$B$3="Bear",'Scenario Inputs'!$D$28,'Scenario Inputs'!$D$26))))</x:f>
        <x:v>0.55</x:v>
      </x:c>
      <x:c r="D23" s="16" t="n">
        <x:f>MIN(1,'Scenario Inputs'!E20+(IF('Scenario Inputs'!$B$3="Bull",'Scenario Inputs'!$D$27,IF('Scenario Inputs'!$B$3="Bear",'Scenario Inputs'!$D$28,'Scenario Inputs'!$D$26))))</x:f>
        <x:v>0.8</x:v>
      </x:c>
      <x:c r="E23" s="16" t="n">
        <x:f>MIN(1,'Scenario Inputs'!F20+(IF('Scenario Inputs'!$B$3="Bull",'Scenario Inputs'!$D$27,IF('Scenario Inputs'!$B$3="Bear",'Scenario Inputs'!$D$28,'Scenario Inputs'!$D$26))))</x:f>
        <x:v>0.92</x:v>
      </x:c>
      <x:c r="F23" s="16" t="n">
        <x:f>MIN(1,'Scenario Inputs'!G20+(IF('Scenario Inputs'!$B$3="Bull",'Scenario Inputs'!$D$27,IF('Scenario Inputs'!$B$3="Bear",'Scenario Inputs'!$D$28,'Scenario Inputs'!$D$26))))</x:f>
        <x:v>0.96</x:v>
      </x:c>
    </x:row>
    <x:row r="24">
      <x:c r="A24" t="str">
        <x:v>HBM4E Revenue</x:v>
      </x:c>
      <x:c r="B24" s="15" t="n">
        <x:f>B21*B22/100*B23*'Scenario Inputs'!C22</x:f>
        <x:v>0</x:v>
      </x:c>
      <x:c r="C24" s="15" t="n">
        <x:f>C21*C22/100*C23*'Scenario Inputs'!D22</x:f>
        <x:v>308.00000000000006</x:v>
      </x:c>
      <x:c r="D24" s="15" t="n">
        <x:f>D21*D22/100*D23*'Scenario Inputs'!E22</x:f>
        <x:v>1456</x:v>
      </x:c>
      <x:c r="E24" s="15" t="n">
        <x:f>E21*E22/100*E23*'Scenario Inputs'!F22</x:f>
        <x:v>2605.4399999999996</x:v>
      </x:c>
      <x:c r="F24" s="15" t="n">
        <x:f>F21*F22/100*F23*'Scenario Inputs'!G22</x:f>
        <x:v>3124.7999999999997</x:v>
      </x:c>
    </x:row>
    <x:row r="25">
      <x:c r="A25" t="str">
        <x:v>HBM4E EBIT Margin</x:v>
      </x:c>
      <x:c r="B25" s="16" t="n">
        <x:f>'Scenario Inputs'!C21+(IF('Scenario Inputs'!$B$3="Bull",'Scenario Inputs'!$E$27,IF('Scenario Inputs'!$B$3="Bear",'Scenario Inputs'!$E$28,'Scenario Inputs'!$E$26)))</x:f>
        <x:v>0.2</x:v>
      </x:c>
      <x:c r="C25" s="16" t="n">
        <x:f>'Scenario Inputs'!D21+(IF('Scenario Inputs'!$B$3="Bull",'Scenario Inputs'!$E$27,IF('Scenario Inputs'!$B$3="Bear",'Scenario Inputs'!$E$28,'Scenario Inputs'!$E$26)))</x:f>
        <x:v>0.24</x:v>
      </x:c>
      <x:c r="D25" s="16" t="n">
        <x:f>'Scenario Inputs'!E21+(IF('Scenario Inputs'!$B$3="Bull",'Scenario Inputs'!$E$27,IF('Scenario Inputs'!$B$3="Bear",'Scenario Inputs'!$E$28,'Scenario Inputs'!$E$26)))</x:f>
        <x:v>0.34</x:v>
      </x:c>
      <x:c r="E25" s="16" t="n">
        <x:f>'Scenario Inputs'!F21+(IF('Scenario Inputs'!$B$3="Bull",'Scenario Inputs'!$E$27,IF('Scenario Inputs'!$B$3="Bear",'Scenario Inputs'!$E$28,'Scenario Inputs'!$E$26)))</x:f>
        <x:v>0.4</x:v>
      </x:c>
      <x:c r="F25" s="16" t="n">
        <x:f>'Scenario Inputs'!G21+(IF('Scenario Inputs'!$B$3="Bull",'Scenario Inputs'!$E$27,IF('Scenario Inputs'!$B$3="Bear",'Scenario Inputs'!$E$28,'Scenario Inputs'!$E$26)))</x:f>
        <x:v>0.38</x:v>
      </x:c>
    </x:row>
    <x:row r="26">
      <x:c r="A26" t="str">
        <x:v>HBM4E EBIT</x:v>
      </x:c>
      <x:c r="B26" s="15" t="n">
        <x:f>B24*B25</x:f>
        <x:v>0</x:v>
      </x:c>
      <x:c r="C26" s="15" t="n">
        <x:f>C24*C25</x:f>
        <x:v>73.92000000000002</x:v>
      </x:c>
      <x:c r="D26" s="15" t="n">
        <x:f>D24*D25</x:f>
        <x:v>495.04</x:v>
      </x:c>
      <x:c r="E26" s="15" t="n">
        <x:f>E24*E25</x:f>
        <x:v>1042.176</x:v>
      </x:c>
      <x:c r="F26" s="15" t="n">
        <x:f>F24*F25</x:f>
        <x:v>1187.424</x:v>
      </x:c>
    </x:row>
    <x:row r="28">
      <x:c r="A28" t="str">
        <x:v>Total HBM Revenue</x:v>
      </x:c>
      <x:c r="B28" s="29" t="n">
        <x:f>SUM(B8,B16,B24)</x:f>
        <x:v>2512.5</x:v>
      </x:c>
      <x:c r="C28" s="29" t="n">
        <x:f>SUM(C8,C16,C24)</x:f>
        <x:v>3713.6000000000004</x:v>
      </x:c>
      <x:c r="D28" s="29" t="n">
        <x:f>SUM(D8,D16,D24)</x:f>
        <x:v>5242.72</x:v>
      </x:c>
      <x:c r="E28" s="29" t="n">
        <x:f>SUM(E8,E16,E24)</x:f>
        <x:v>5762.839999999999</x:v>
      </x:c>
      <x:c r="F28" s="29" t="n">
        <x:f>SUM(F8,F16,F24)</x:f>
        <x:v>5324.9</x:v>
      </x:c>
    </x:row>
    <x:row r="29">
      <x:c r="A29" t="str">
        <x:v>Total HBM EBIT</x:v>
      </x:c>
      <x:c r="B29" s="29" t="n">
        <x:f>SUM(B10,B18,B26)</x:f>
        <x:v>893.5</x:v>
      </x:c>
      <x:c r="C29" s="29" t="n">
        <x:f>SUM(C10,C18,C26)</x:f>
        <x:v>1306.5888000000002</x:v>
      </x:c>
      <x:c r="D29" s="29" t="n">
        <x:f>SUM(D10,D18,D26)</x:f>
        <x:v>1918.4116</x:v>
      </x:c>
      <x:c r="E29" s="29" t="n">
        <x:f>SUM(E10,E18,E26)</x:f>
        <x:v>2128.7799999999997</x:v>
      </x:c>
      <x:c r="F29" s="29" t="n">
        <x:f>SUM(F10,F18,F26)</x:f>
        <x:v>1838.879</x:v>
      </x:c>
    </x:row>
    <x:row r="30">
      <x:c r="A30" t="str">
        <x:v>HBM EBIT Margin</x:v>
      </x:c>
      <x:c r="B30" s="30" t="n">
        <x:f>B29/B28</x:f>
        <x:v>0.3556218905472637</x:v>
      </x:c>
      <x:c r="C30" s="30" t="n">
        <x:f>C29/C28</x:f>
        <x:v>0.35183886255924174</x:v>
      </x:c>
      <x:c r="D30" s="30" t="n">
        <x:f>D29/D28</x:f>
        <x:v>0.3659191412091433</x:v>
      </x:c>
      <x:c r="E30" s="30" t="n">
        <x:f>E29/E28</x:f>
        <x:v>0.369397727509353</x:v>
      </x:c>
      <x:c r="F30" s="30" t="n">
        <x:f>F29/F28</x:f>
        <x:v>0.3453358748521099</x:v>
      </x:c>
    </x:row>
    <x:row r="31">
      <x:c r="A31" t="str">
        <x:v>HBM4+ Revenue Mix</x:v>
      </x:c>
      <x:c r="B31" s="30" t="n">
        <x:f>(B16+B24)/B28</x:f>
        <x:v>0.24378109452736313</x:v>
      </x:c>
      <x:c r="C31" s="30" t="n">
        <x:f>(C16+C24)/C28</x:f>
        <x:v>0.5862559241706161</x:v>
      </x:c>
      <x:c r="D31" s="30" t="n">
        <x:f>(D16+D24)/D28</x:f>
        <x:v>0.8104571672719504</x:v>
      </x:c>
      <x:c r="E31" s="30" t="n">
        <x:f>(E16+E24)/E28</x:f>
        <x:v>0.9166730292702904</x:v>
      </x:c>
      <x:c r="F31" s="30" t="n">
        <x:f>(F16+F24)/F28</x:f>
        <x:v>0.9641120021033258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38" hidden="0" customWidth="1"/>
    <x:col min="4" max="4" width="13" hidden="0" customWidth="1"/>
    <x:col min="5" max="5" width="16" hidden="0" customWidth="1"/>
    <x:col min="6" max="6" width="14" hidden="0" customWidth="1"/>
    <x:col min="7" max="7" width="13" hidden="0" customWidth="1"/>
    <x:col min="8" max="8" width="30" hidden="0" customWidth="1"/>
  </x:cols>
  <x:sheetData>
    <x:row r="1" ht="30" customHeight="1">
      <x:c r="A1" s="3" t="str">
        <x:v>Sources &amp; Assumption Log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Record source, as-of date, unit, owner, and the condition that would change the assumption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Input</x:v>
      </x:c>
      <x:c r="B4" s="14" t="str">
        <x:v>Source</x:v>
      </x:c>
      <x:c r="C4" s="14" t="str">
        <x:v>URL / File</x:v>
      </x:c>
      <x:c r="D4" s="14" t="str">
        <x:v>As-of</x:v>
      </x:c>
      <x:c r="E4" s="14" t="str">
        <x:v>Unit</x:v>
      </x:c>
      <x:c r="F4" s="14" t="str">
        <x:v>Status</x:v>
      </x:c>
      <x:c r="G4" s="14" t="str">
        <x:v>Owner</x:v>
      </x:c>
      <x:c r="H4" s="14" t="str">
        <x:v>Change condition</x:v>
      </x:c>
    </x:row>
    <x:row r="5">
      <x:c r="A5" s="20" t="str">
        <x:v>HBM shipment / generation mix</x:v>
      </x:c>
      <x:c r="B5" s="32" t="str">
        <x:v>SK hynix IR</x:v>
      </x:c>
      <x:c r="C5" s="32" t="str">
        <x:v>https://news.skhynix.com/category/ir/</x:v>
      </x:c>
      <x:c r="D5" s="32" t="str"/>
      <x:c r="E5" s="32" t="str">
        <x:v>Index</x:v>
      </x:c>
      <x:c r="F5" s="32" t="str">
        <x:v>To source</x:v>
      </x:c>
      <x:c r="G5" s="32" t="str">
        <x:v>Analyst</x:v>
      </x:c>
      <x:c r="H5" s="32" t="str">
        <x:v>New guidance or qualification update</x:v>
      </x:c>
    </x:row>
    <x:row r="6">
      <x:c r="A6" s="20" t="str">
        <x:v>Memory pricing</x:v>
      </x:c>
      <x:c r="B6" s="32" t="str">
        <x:v>Company IR / industry data</x:v>
      </x:c>
      <x:c r="C6" s="32" t="str"/>
      <x:c r="D6" s="32" t="str"/>
      <x:c r="E6" s="32" t="str">
        <x:v>Index</x:v>
      </x:c>
      <x:c r="F6" s="32" t="str">
        <x:v>To source</x:v>
      </x:c>
      <x:c r="G6" s="32" t="str">
        <x:v>Analyst</x:v>
      </x:c>
      <x:c r="H6" s="32" t="str">
        <x:v>Contract price reset</x:v>
      </x:c>
    </x:row>
    <x:row r="7">
      <x:c r="A7" s="20" t="str">
        <x:v>Yield / ramp</x:v>
      </x:c>
      <x:c r="B7" s="32" t="str">
        <x:v>Management commentary</x:v>
      </x:c>
      <x:c r="C7" s="32" t="str"/>
      <x:c r="D7" s="32" t="str"/>
      <x:c r="E7" s="32" t="str">
        <x:v>%</x:v>
      </x:c>
      <x:c r="F7" s="32" t="str">
        <x:v>Scenario</x:v>
      </x:c>
      <x:c r="G7" s="32" t="str">
        <x:v>Analyst</x:v>
      </x:c>
      <x:c r="H7" s="32" t="str">
        <x:v>Ramp timing changes</x:v>
      </x:c>
    </x:row>
    <x:row r="8">
      <x:c r="A8" s="20" t="str">
        <x:v>EBIT margin</x:v>
      </x:c>
      <x:c r="B8" s="32" t="str">
        <x:v>Analyst estimate</x:v>
      </x:c>
      <x:c r="C8" s="32" t="str"/>
      <x:c r="D8" s="32" t="str"/>
      <x:c r="E8" s="32" t="str">
        <x:v>%</x:v>
      </x:c>
      <x:c r="F8" s="32" t="str">
        <x:v>Scenario</x:v>
      </x:c>
      <x:c r="G8" s="32" t="str">
        <x:v>Analyst</x:v>
      </x:c>
      <x:c r="H8" s="32" t="str">
        <x:v>Cost or ASP deviation</x:v>
      </x:c>
    </x:row>
    <x:row r="9">
      <x:c r="A9" s="20" t="str">
        <x:v>Scale factor</x:v>
      </x:c>
      <x:c r="B9" s="32" t="str">
        <x:v>Model calibration</x:v>
      </x:c>
      <x:c r="C9" s="32" t="str"/>
      <x:c r="D9" s="32" t="str"/>
      <x:c r="E9" s="32" t="str">
        <x:v>KRW bn / point</x:v>
      </x:c>
      <x:c r="F9" s="32" t="str">
        <x:v>Illustrative</x:v>
      </x:c>
      <x:c r="G9" s="32" t="str">
        <x:v>Analyst</x:v>
      </x:c>
      <x:c r="H9" s="32" t="str">
        <x:v>Actual segment revenue available</x:v>
      </x:c>
    </x:row>
  </x:sheetData>
  <x:mergeCells>
    <x:mergeCell ref="A1:H1"/>
    <x:mergeCell ref="A2:H2"/>
  </x:mergeCells>
  <x:pageMargins left="0.7" right="0.7" top="0.75" bottom="0.75" header="0.3" footer="0.3"/>
</x:worksheet>
</file>