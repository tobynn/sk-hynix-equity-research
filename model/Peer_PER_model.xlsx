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dea7b6f44e4c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f3ac4287d3404d"/>
    <x:sheet xmlns:r="http://schemas.openxmlformats.org/officeDocument/2006/relationships" name="Peer Framework" sheetId="2" r:id="R424b632edba34799"/>
    <x:sheet xmlns:r="http://schemas.openxmlformats.org/officeDocument/2006/relationships" name="PER Bridge" sheetId="3" r:id="R5ec88caba2da4e5b"/>
    <x:sheet xmlns:r="http://schemas.openxmlformats.org/officeDocument/2006/relationships" name="Sources" sheetId="4" r:id="R9a526abff0dd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x"/>
    <x:numFmt numFmtId="201" formatCode="#,##0"/>
  </x:numFmts>
  <x:fonts count="7">
    <x:font>
      <x:sz val="11"/>
      <x:name val="Carlito"/>
    </x:font>
    <x:font>
      <x:b/>
      <x:sz val="18"/>
      <x:color rgb="FFFFFFFF"/>
      <x:name val="Aptos"/>
    </x:font>
    <x:font>
      <x:i/>
      <x:sz val="10"/>
      <x:color rgb="FF1F2937"/>
      <x:name val="Aptos"/>
    </x:font>
    <x:font>
      <x:sz val="11"/>
      <x:color rgb="FF008000"/>
      <x:name val="Aptos"/>
    </x:font>
    <x:font>
      <x:b/>
      <x:sz val="11"/>
      <x:color rgb="FFFFFFFF"/>
      <x:name val="Aptos"/>
    </x:font>
    <x:font>
      <x:sz val="11"/>
      <x:color rgb="FF0000FF"/>
      <x:name val="Aptos"/>
    </x:font>
    <x:font>
      <x:sz val="11"/>
      <x:color rgb="FF1F2937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F6B78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</x:fills>
  <x:borders count="2">
    <x:border/>
    <x:border>
      <x:left style="thin">
        <x:color rgb="FFC9D2DC"/>
      </x:left>
      <x:right style="thin">
        <x:color rgb="FFC9D2DC"/>
      </x:right>
      <x:top style="thin">
        <x:color rgb="FFC9D2DC"/>
      </x:top>
      <x:bottom style="thin">
        <x:color rgb="FFC9D2DC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200" fontId="3" fillId="0" borderId="1" xfId="0" applyNumberFormat="1" applyFont="1" applyFill="1" applyBorder="1"/>
    <x:xf numFmtId="201" fontId="3" fillId="0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200" fontId="5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200" fontId="6" fillId="6" borderId="1" xfId="0" applyNumberFormat="1" applyFont="1" applyFill="1" applyBorder="1"/>
    <x:xf numFmtId="201" fontId="5" fillId="5" borderId="1" xfId="0" applyNumberFormat="1" applyFont="1" applyFill="1" applyBorder="1"/>
    <x:xf numFmtId="201" fontId="6" fillId="6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36b8d6e334c31" /><Relationship Type="http://schemas.openxmlformats.org/officeDocument/2006/relationships/theme" Target="/xl/theme/theme1.xml" Id="Rb05506d204bf4768" /><Relationship Type="http://schemas.openxmlformats.org/officeDocument/2006/relationships/sharedStrings" Target="/xl/sharedStrings.xml" Id="Rd6b20cd527284bd5" /><Relationship Type="http://schemas.openxmlformats.org/officeDocument/2006/relationships/worksheet" Target="/xl/worksheets/sheet1.xml" Id="R9bf3ac4287d3404d" /><Relationship Type="http://schemas.openxmlformats.org/officeDocument/2006/relationships/worksheet" Target="/xl/worksheets/sheet2.xml" Id="R424b632edba34799" /><Relationship Type="http://schemas.openxmlformats.org/officeDocument/2006/relationships/worksheet" Target="/xl/worksheets/sheet3.xml" Id="R5ec88caba2da4e5b" /><Relationship Type="http://schemas.openxmlformats.org/officeDocument/2006/relationships/worksheet" Target="/xl/worksheets/sheet4.xml" Id="R9a526abff0dd49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28" hidden="0" customWidth="1"/>
    <x:col min="3" max="3" width="25" hidden="0" customWidth="1"/>
    <x:col min="4" max="4" width="35" hidden="0" customWidth="1"/>
    <x:col min="5" max="5" width="3" hidden="0" customWidth="1"/>
  </x:cols>
  <x:sheetData>
    <x:row r="1" ht="30" customHeight="1">
      <x:c r="A1" s="3" t="str">
        <x:v>SK hynix Peer PER Framework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Micron is the direct anchor; premium/discount is decomposed into observable business drivers</x:v>
      </x:c>
      <x:c r="B2" s="6"/>
      <x:c r="C2" s="6"/>
      <x:c r="D2" s="6"/>
      <x:c r="E2" s="6"/>
      <x:c r="F2" s="6"/>
      <x:c r="G2" s="6"/>
      <x:c r="H2" s="6"/>
    </x:row>
    <x:row r="4">
      <x:c r="A4" t="str">
        <x:v>Selected Scenario</x:v>
      </x:c>
      <x:c r="B4" s="8" t="str">
        <x:f>'PER Bridge'!B3</x:f>
        <x:v>Base</x:v>
      </x:c>
    </x:row>
    <x:row r="6">
      <x:c r="A6" s="14" t="str">
        <x:v>Metric</x:v>
      </x:c>
      <x:c r="B6" s="14" t="str">
        <x:v>Result</x:v>
      </x:c>
    </x:row>
    <x:row r="7">
      <x:c r="A7" t="str">
        <x:v>Micron Cycle-adjusted PER</x:v>
      </x:c>
      <x:c r="B7" s="15" t="n">
        <x:f>'PER Bridge'!B6</x:f>
        <x:v>9</x:v>
      </x:c>
    </x:row>
    <x:row r="8">
      <x:c r="A8" t="str">
        <x:v>Net Premium / (Discount)</x:v>
      </x:c>
      <x:c r="B8" s="15" t="n">
        <x:f>'PER Bridge'!E16</x:f>
        <x:v>1.5</x:v>
      </x:c>
    </x:row>
    <x:row r="9">
      <x:c r="A9" t="str">
        <x:v>Target PER</x:v>
      </x:c>
      <x:c r="B9" s="15" t="n">
        <x:f>'PER Bridge'!B18</x:f>
        <x:v>10.5</x:v>
      </x:c>
    </x:row>
    <x:row r="10">
      <x:c r="A10" t="str">
        <x:v>Normalized EPS</x:v>
      </x:c>
      <x:c r="B10" s="16" t="n">
        <x:f>'PER Bridge'!B20</x:f>
        <x:v>40000</x:v>
      </x:c>
    </x:row>
    <x:row r="11">
      <x:c r="A11" t="str">
        <x:v>Implied Price</x:v>
      </x:c>
      <x:c r="B11" s="16" t="n">
        <x:f>'PER Bridge'!B21</x:f>
        <x:v>420000</x:v>
      </x:c>
    </x:row>
    <x:row r="14">
      <x:c r="A14" s="14" t="str">
        <x:v>Rule</x:v>
      </x:c>
      <x:c r="B14" s="14" t="str">
        <x:v>Use</x:v>
      </x:c>
      <x:c r="C14" s="14" t="str">
        <x:v>Do not use</x:v>
      </x:c>
      <x:c r="D14" s="14" t="str">
        <x:v>Reason</x:v>
      </x:c>
    </x:row>
    <x:row r="15">
      <x:c r="A15" s="18" t="str">
        <x:v>Primary anchor</x:v>
      </x:c>
      <x:c r="B15" s="18" t="str">
        <x:v>Micron cycle-adjusted PER</x:v>
      </x:c>
      <x:c r="C15" s="18" t="str">
        <x:v>Raw peer average</x:v>
      </x:c>
      <x:c r="D15" s="18" t="str">
        <x:v>Closest listed memory economics</x:v>
      </x:c>
    </x:row>
    <x:row r="16">
      <x:c r="A16" s="18" t="str">
        <x:v>Samsung</x:v>
      </x:c>
      <x:c r="B16" s="18" t="str">
        <x:v>Memory segment reference</x:v>
      </x:c>
      <x:c r="C16" s="18" t="str">
        <x:v>Company-wide PER</x:v>
      </x:c>
      <x:c r="D16" s="18" t="str">
        <x:v>Conglomerate and mobile/foundry mix</x:v>
      </x:c>
    </x:row>
    <x:row r="17">
      <x:c r="A17" s="18" t="str">
        <x:v>NAND</x:v>
      </x:c>
      <x:c r="B17" s="18" t="str">
        <x:v>Kioxia / SanDisk</x:v>
      </x:c>
      <x:c r="C17" s="18" t="str">
        <x:v>HBM multiple</x:v>
      </x:c>
      <x:c r="D17" s="18" t="str">
        <x:v>Segment-specific cycle</x:v>
      </x:c>
    </x:row>
    <x:row r="18">
      <x:c r="A18" s="18" t="str">
        <x:v>AI ecosystem</x:v>
      </x:c>
      <x:c r="B18" s="18" t="str">
        <x:v>Qualitative demand check</x:v>
      </x:c>
      <x:c r="C18" s="18" t="str">
        <x:v>NVIDIA/TSMC direct PER</x:v>
      </x:c>
      <x:c r="D18" s="18" t="str">
        <x:v>Different margin and capital models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16" hidden="0" customWidth="1"/>
    <x:col min="5" max="5" width="26" hidden="0" customWidth="1"/>
    <x:col min="6" max="6" width="34" hidden="0" customWidth="1"/>
    <x:col min="7" max="7" width="30" hidden="0" customWidth="1"/>
    <x:col min="8" max="8" width="13" hidden="0" customWidth="1"/>
  </x:cols>
  <x:sheetData>
    <x:row r="1" ht="30" customHeight="1">
      <x:c r="A1" s="3" t="str">
        <x:v>Peer Framework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Peer inclusion follows business overlap and economic comparability, not thematic similarity</x:v>
      </x:c>
      <x:c r="B2" s="6"/>
      <x:c r="C2" s="6"/>
      <x:c r="D2" s="6"/>
      <x:c r="E2" s="6"/>
      <x:c r="F2" s="6"/>
      <x:c r="G2" s="6"/>
      <x:c r="H2" s="6"/>
    </x:row>
    <x:row r="4">
      <x:c r="A4" s="14" t="str">
        <x:v>Company</x:v>
      </x:c>
      <x:c r="B4" s="14" t="str">
        <x:v>Role</x:v>
      </x:c>
      <x:c r="C4" s="14" t="str">
        <x:v>Overlap</x:v>
      </x:c>
      <x:c r="D4" s="14" t="str">
        <x:v>Status</x:v>
      </x:c>
      <x:c r="E4" s="14" t="str">
        <x:v>Valuation Use</x:v>
      </x:c>
      <x:c r="F4" s="14" t="str">
        <x:v>Why Included / Excluded</x:v>
      </x:c>
      <x:c r="G4" s="14" t="str">
        <x:v>Key Caveat</x:v>
      </x:c>
      <x:c r="H4" s="14" t="str">
        <x:v>Owner</x:v>
      </x:c>
    </x:row>
    <x:row r="5">
      <x:c r="A5" s="18" t="str">
        <x:v>Micron</x:v>
      </x:c>
      <x:c r="B5" s="18" t="str">
        <x:v>Primary anchor</x:v>
      </x:c>
      <x:c r="C5" s="18" t="str">
        <x:v>DRAM + NAND</x:v>
      </x:c>
      <x:c r="D5" s="18" t="str">
        <x:v>Included</x:v>
      </x:c>
      <x:c r="E5" s="18" t="str">
        <x:v>Cycle-adjusted forward PER</x:v>
      </x:c>
      <x:c r="F5" s="18" t="str">
        <x:v>Closest listed memory comparator</x:v>
      </x:c>
      <x:c r="G5" s="18" t="str">
        <x:v>HBM position and customer mix differ</x:v>
      </x:c>
      <x:c r="H5" s="18" t="str">
        <x:v>Analyst</x:v>
      </x:c>
    </x:row>
    <x:row r="6">
      <x:c r="A6" s="18" t="str">
        <x:v>Samsung Electronics</x:v>
      </x:c>
      <x:c r="B6" s="18" t="str">
        <x:v>Secondary reference</x:v>
      </x:c>
      <x:c r="C6" s="18" t="str">
        <x:v>DRAM + HBM + NAND</x:v>
      </x:c>
      <x:c r="D6" s="18" t="str">
        <x:v>Reference only</x:v>
      </x:c>
      <x:c r="E6" s="18" t="str">
        <x:v>Memory margins / implied value</x:v>
      </x:c>
      <x:c r="F6" s="18" t="str">
        <x:v>Technology and CAPEX benchmark</x:v>
      </x:c>
      <x:c r="G6" s="18" t="str">
        <x:v>Company PER includes many businesses</x:v>
      </x:c>
      <x:c r="H6" s="18" t="str">
        <x:v>Analyst</x:v>
      </x:c>
    </x:row>
    <x:row r="7">
      <x:c r="A7" s="18" t="str">
        <x:v>Kioxia</x:v>
      </x:c>
      <x:c r="B7" s="18" t="str">
        <x:v>NAND check</x:v>
      </x:c>
      <x:c r="C7" s="18" t="str">
        <x:v>NAND</x:v>
      </x:c>
      <x:c r="D7" s="18" t="str">
        <x:v>Segment use</x:v>
      </x:c>
      <x:c r="E7" s="18" t="str">
        <x:v>EV / EBIT</x:v>
      </x:c>
      <x:c r="F7" s="18" t="str">
        <x:v>NAND cycle comparator</x:v>
      </x:c>
      <x:c r="G7" s="18" t="str">
        <x:v>Different leverage and mix</x:v>
      </x:c>
      <x:c r="H7" s="18" t="str">
        <x:v>Analyst</x:v>
      </x:c>
    </x:row>
    <x:row r="8">
      <x:c r="A8" s="18" t="str">
        <x:v>SanDisk</x:v>
      </x:c>
      <x:c r="B8" s="18" t="str">
        <x:v>NAND check</x:v>
      </x:c>
      <x:c r="C8" s="18" t="str">
        <x:v>NAND</x:v>
      </x:c>
      <x:c r="D8" s="18" t="str">
        <x:v>Segment use</x:v>
      </x:c>
      <x:c r="E8" s="18" t="str">
        <x:v>PER or EV / EBIT</x:v>
      </x:c>
      <x:c r="F8" s="18" t="str">
        <x:v>NAND market cross-check</x:v>
      </x:c>
      <x:c r="G8" s="18" t="str">
        <x:v>Different product mix</x:v>
      </x:c>
      <x:c r="H8" s="18" t="str">
        <x:v>Analyst</x:v>
      </x:c>
    </x:row>
    <x:row r="9">
      <x:c r="A9" s="18" t="str">
        <x:v>NVIDIA</x:v>
      </x:c>
      <x:c r="B9" s="18" t="str">
        <x:v>AI ecosystem</x:v>
      </x:c>
      <x:c r="C9" s="18" t="str">
        <x:v>AI demand</x:v>
      </x:c>
      <x:c r="D9" s="18" t="str">
        <x:v>Excluded</x:v>
      </x:c>
      <x:c r="E9" s="18" t="str">
        <x:v>Qualitative only</x:v>
      </x:c>
      <x:c r="F9" s="18" t="str">
        <x:v>Demand signal</x:v>
      </x:c>
      <x:c r="G9" s="18" t="str">
        <x:v>Fabless GPU economics</x:v>
      </x:c>
      <x:c r="H9" s="18" t="str">
        <x:v>Analyst</x:v>
      </x:c>
    </x:row>
    <x:row r="10">
      <x:c r="A10" s="18" t="str">
        <x:v>TSMC</x:v>
      </x:c>
      <x:c r="B10" s="18" t="str">
        <x:v>AI ecosystem</x:v>
      </x:c>
      <x:c r="C10" s="18" t="str">
        <x:v>Foundry</x:v>
      </x:c>
      <x:c r="D10" s="18" t="str">
        <x:v>Excluded</x:v>
      </x:c>
      <x:c r="E10" s="18" t="str">
        <x:v>Qualitative only</x:v>
      </x:c>
      <x:c r="F10" s="18" t="str">
        <x:v>Advanced node / packaging signal</x:v>
      </x:c>
      <x:c r="G10" s="18" t="str">
        <x:v>Foundry economics</x:v>
      </x:c>
      <x:c r="H10" s="18" t="str">
        <x:v>Analyst</x:v>
      </x:c>
    </x:row>
    <x:row r="11">
      <x:c r="A11" s="18" t="str">
        <x:v>Broadcom</x:v>
      </x:c>
      <x:c r="B11" s="18" t="str">
        <x:v>AI ecosystem</x:v>
      </x:c>
      <x:c r="C11" s="18" t="str">
        <x:v>ASIC / networking</x:v>
      </x:c>
      <x:c r="D11" s="18" t="str">
        <x:v>Excluded</x:v>
      </x:c>
      <x:c r="E11" s="18" t="str">
        <x:v>Qualitative only</x:v>
      </x:c>
      <x:c r="F11" s="18" t="str">
        <x:v>Custom AI demand signal</x:v>
      </x:c>
      <x:c r="G11" s="18" t="str">
        <x:v>Asset-light design model</x:v>
      </x:c>
      <x:c r="H11" s="18" t="str">
        <x:v>Analyst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46" hidden="0" customWidth="1"/>
    <x:col min="7" max="7" width="3" hidden="0" customWidth="1"/>
    <x:col min="8" max="8" width="3" hidden="0" customWidth="1"/>
  </x:cols>
  <x:sheetData>
    <x:row r="1" ht="30" customHeight="1">
      <x:c r="A1" s="3" t="str">
        <x:v>PER Premium / Discount Bridge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Every adjustment needs a reason, a magnitude, and a condition that would remove it</x:v>
      </x:c>
      <x:c r="B2" s="6"/>
      <x:c r="C2" s="6"/>
      <x:c r="D2" s="6"/>
      <x:c r="E2" s="6"/>
      <x:c r="F2" s="6"/>
      <x:c r="G2" s="6"/>
      <x:c r="H2" s="6"/>
    </x:row>
    <x:row r="3">
      <x:c r="A3" t="str">
        <x:v>Selected Scenario</x:v>
      </x:c>
      <x:c r="B3" s="21" t="str">
        <x:v>Base</x:v>
      </x:c>
    </x:row>
    <x:row r="5">
      <x:c r="A5" s="14" t="str">
        <x:v>Anchor</x:v>
      </x:c>
      <x:c r="B5" s="14" t="str">
        <x:v>Input</x:v>
      </x:c>
    </x:row>
    <x:row r="6">
      <x:c r="A6" t="str">
        <x:v>Micron Cycle-adjusted PER</x:v>
      </x:c>
      <x:c r="B6" s="22" t="n">
        <x:v>9</x:v>
      </x:c>
    </x:row>
    <x:row r="8">
      <x:c r="A8" s="14" t="str">
        <x:v>Adjustment</x:v>
      </x:c>
      <x:c r="B8" s="14" t="str">
        <x:v>Base</x:v>
      </x:c>
      <x:c r="C8" s="14" t="str">
        <x:v>Bull</x:v>
      </x:c>
      <x:c r="D8" s="14" t="str">
        <x:v>Bear</x:v>
      </x:c>
      <x:c r="E8" s="14" t="str">
        <x:v>Active</x:v>
      </x:c>
      <x:c r="F8" s="14" t="str">
        <x:v>Evidence / removal condition</x:v>
      </x:c>
    </x:row>
    <x:row r="9">
      <x:c r="A9" t="str">
        <x:v>HBM Profit Mix</x:v>
      </x:c>
      <x:c r="B9" s="22" t="n">
        <x:v>1.5</x:v>
      </x:c>
      <x:c r="C9" s="22" t="n">
        <x:v>2.5</x:v>
      </x:c>
      <x:c r="D9" s="22" t="n">
        <x:v>0.5</x:v>
      </x:c>
      <x:c r="E9" s="26" t="n">
        <x:f>IF($B$3="Bull",C9,IF($B$3="Bear",D9,B9))</x:f>
        <x:v>1.5</x:v>
      </x:c>
      <x:c r="F9" t="str">
        <x:v>Premium falls if HBM EBIT share or margin declines</x:v>
      </x:c>
    </x:row>
    <x:row r="10">
      <x:c r="A10" t="str">
        <x:v>EPS Growth</x:v>
      </x:c>
      <x:c r="B10" s="22" t="n">
        <x:v>1</x:v>
      </x:c>
      <x:c r="C10" s="22" t="n">
        <x:v>1.5</x:v>
      </x:c>
      <x:c r="D10" s="22" t="n">
        <x:v>-0.5</x:v>
      </x:c>
      <x:c r="E10" s="26" t="n">
        <x:f>IF($B$3="Bull",C10,IF($B$3="Bear",D10,B10))</x:f>
        <x:v>1</x:v>
      </x:c>
      <x:c r="F10" t="str">
        <x:v>Use normalized 2–3 year growth</x:v>
      </x:c>
    </x:row>
    <x:row r="11">
      <x:c r="A11" t="str">
        <x:v>ROE Quality</x:v>
      </x:c>
      <x:c r="B11" s="22" t="n">
        <x:v>0.5</x:v>
      </x:c>
      <x:c r="C11" s="22" t="n">
        <x:v>1</x:v>
      </x:c>
      <x:c r="D11" s="22" t="n">
        <x:v>0</x:v>
      </x:c>
      <x:c r="E11" s="26" t="n">
        <x:f>IF($B$3="Bull",C11,IF($B$3="Bear",D11,B11))</x:f>
        <x:v>0.5</x:v>
      </x:c>
      <x:c r="F11" t="str">
        <x:v>Require sustained ROE above memory peers</x:v>
      </x:c>
    </x:row>
    <x:row r="12">
      <x:c r="A12" t="str">
        <x:v>Earnings Visibility</x:v>
      </x:c>
      <x:c r="B12" s="22" t="n">
        <x:v>0.5</x:v>
      </x:c>
      <x:c r="C12" s="22" t="n">
        <x:v>1</x:v>
      </x:c>
      <x:c r="D12" s="22" t="n">
        <x:v>-0.5</x:v>
      </x:c>
      <x:c r="E12" s="26" t="n">
        <x:f>IF($B$3="Bull",C12,IF($B$3="Bear",D12,B12))</x:f>
        <x:v>0.5</x:v>
      </x:c>
      <x:c r="F12" t="str">
        <x:v>Backlog/qualification visibility must persist</x:v>
      </x:c>
    </x:row>
    <x:row r="13">
      <x:c r="A13" t="str">
        <x:v>Customer Concentration</x:v>
      </x:c>
      <x:c r="B13" s="22" t="n">
        <x:v>-0.5</x:v>
      </x:c>
      <x:c r="C13" s="22" t="n">
        <x:v>-0.25</x:v>
      </x:c>
      <x:c r="D13" s="22" t="n">
        <x:v>-1</x:v>
      </x:c>
      <x:c r="E13" s="26" t="n">
        <x:f>IF($B$3="Bull",C13,IF($B$3="Bear",D13,B13))</x:f>
        <x:v>-0.5</x:v>
      </x:c>
      <x:c r="F13" t="str">
        <x:v>Discount narrows with broader customer mix</x:v>
      </x:c>
    </x:row>
    <x:row r="14">
      <x:c r="A14" t="str">
        <x:v>CAPEX Intensity</x:v>
      </x:c>
      <x:c r="B14" s="22" t="n">
        <x:v>-0.5</x:v>
      </x:c>
      <x:c r="C14" s="22" t="n">
        <x:v>-0.25</x:v>
      </x:c>
      <x:c r="D14" s="22" t="n">
        <x:v>-1</x:v>
      </x:c>
      <x:c r="E14" s="26" t="n">
        <x:f>IF($B$3="Bull",C14,IF($B$3="Bear",D14,B14))</x:f>
        <x:v>-0.5</x:v>
      </x:c>
      <x:c r="F14" t="str">
        <x:v>Discount narrows if FCF conversion improves</x:v>
      </x:c>
    </x:row>
    <x:row r="15">
      <x:c r="A15" t="str">
        <x:v>Cycle Volatility</x:v>
      </x:c>
      <x:c r="B15" s="22" t="n">
        <x:v>-1</x:v>
      </x:c>
      <x:c r="C15" s="22" t="n">
        <x:v>-0.5</x:v>
      </x:c>
      <x:c r="D15" s="22" t="n">
        <x:v>-2</x:v>
      </x:c>
      <x:c r="E15" s="26" t="n">
        <x:f>IF($B$3="Bull",C15,IF($B$3="Bear",D15,B15))</x:f>
        <x:v>-1</x:v>
      </x:c>
      <x:c r="F15" t="str">
        <x:v>Discount narrows only with supply discipline</x:v>
      </x:c>
    </x:row>
    <x:row r="16">
      <x:c r="A16" t="str">
        <x:v>Net Premium / (Discount)</x:v>
      </x:c>
      <x:c r="B16"/>
      <x:c r="C16"/>
      <x:c r="D16"/>
      <x:c r="E16" s="26" t="n">
        <x:f>SUM(E9:E15)</x:f>
        <x:v>1.5</x:v>
      </x:c>
    </x:row>
    <x:row r="18">
      <x:c r="A18" t="str">
        <x:v>Target PER</x:v>
      </x:c>
      <x:c r="B18" s="26" t="n">
        <x:f>B6+E16</x:f>
        <x:v>10.5</x:v>
      </x:c>
    </x:row>
    <x:row r="19">
      <x:c r="A19" t="str"/>
      <x:c r="B19"/>
    </x:row>
    <x:row r="20">
      <x:c r="A20" t="str">
        <x:v>Normalized EPS</x:v>
      </x:c>
      <x:c r="B20" s="27" t="n">
        <x:v>40000</x:v>
      </x:c>
    </x:row>
    <x:row r="21">
      <x:c r="A21" t="str">
        <x:v>Implied Price</x:v>
      </x:c>
      <x:c r="B21" s="28" t="n">
        <x:f>B18*B20</x:f>
        <x:v>420000</x:v>
      </x:c>
    </x:row>
  </x:sheetData>
  <x:mergeCells>
    <x:mergeCell ref="A1:H1"/>
    <x:mergeCell ref="A2:H2"/>
  </x:mergeCells>
  <x:dataValidations count="1">
    <x:dataValidation type="list" sqref="B3">
      <x:formula1>"Base,Bull,Bear"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2" hidden="0" customWidth="1"/>
    <x:col min="2" max="2" width="24" hidden="0" customWidth="1"/>
    <x:col min="3" max="3" width="24" hidden="0" customWidth="1"/>
    <x:col min="4" max="4" width="42" hidden="0" customWidth="1"/>
    <x:col min="5" max="5" width="13" hidden="0" customWidth="1"/>
    <x:col min="6" max="6" width="27" hidden="0" customWidth="1"/>
    <x:col min="7" max="7" width="14" hidden="0" customWidth="1"/>
    <x:col min="8" max="8" width="13" hidden="0" customWidth="1"/>
  </x:cols>
  <x:sheetData>
    <x:row r="1" ht="30" customHeight="1">
      <x:c r="A1" s="3" t="str">
        <x:v>Peer Data Sources</x:v>
      </x:c>
      <x:c r="B1" s="3"/>
      <x:c r="C1" s="3"/>
      <x:c r="D1" s="3"/>
      <x:c r="E1" s="3"/>
      <x:c r="F1" s="3"/>
      <x:c r="G1" s="3"/>
      <x:c r="H1" s="3"/>
    </x:row>
    <x:row r="2" ht="28" customHeight="1">
      <x:c r="A2" s="6" t="str">
        <x:v>Use the same as-of date for price and earnings; retain the source and normalization method</x:v>
      </x:c>
      <x:c r="B2" s="6"/>
      <x:c r="C2" s="6"/>
      <x:c r="D2" s="6"/>
      <x:c r="E2" s="6"/>
      <x:c r="F2" s="6"/>
      <x:c r="G2" s="6"/>
      <x:c r="H2" s="6"/>
    </x:row>
    <x:row r="4">
      <x:c r="A4" s="14" t="str">
        <x:v>Company</x:v>
      </x:c>
      <x:c r="B4" s="14" t="str">
        <x:v>Metric</x:v>
      </x:c>
      <x:c r="C4" s="14" t="str">
        <x:v>Source</x:v>
      </x:c>
      <x:c r="D4" s="14" t="str">
        <x:v>URL / File</x:v>
      </x:c>
      <x:c r="E4" s="14" t="str">
        <x:v>As-of</x:v>
      </x:c>
      <x:c r="F4" s="14" t="str">
        <x:v>Normalization</x:v>
      </x:c>
      <x:c r="G4" s="14" t="str">
        <x:v>Status</x:v>
      </x:c>
      <x:c r="H4" s="14" t="str">
        <x:v>Owner</x:v>
      </x:c>
    </x:row>
    <x:row r="5">
      <x:c r="A5" s="29" t="str">
        <x:v>Micron</x:v>
      </x:c>
      <x:c r="B5" s="29" t="str">
        <x:v>PER / earnings</x:v>
      </x:c>
      <x:c r="C5" s="30" t="str">
        <x:v>Micron IR</x:v>
      </x:c>
      <x:c r="D5" s="30" t="str">
        <x:v>https://investors.micron.com/quarterly-results</x:v>
      </x:c>
      <x:c r="E5" s="30" t="str"/>
      <x:c r="F5" s="30" t="str">
        <x:v>Cycle-adjusted EPS</x:v>
      </x:c>
      <x:c r="G5" s="30" t="str">
        <x:v>To source</x:v>
      </x:c>
      <x:c r="H5" s="30" t="str">
        <x:v>Analyst</x:v>
      </x:c>
    </x:row>
    <x:row r="6">
      <x:c r="A6" s="29" t="str">
        <x:v>Samsung Electronics</x:v>
      </x:c>
      <x:c r="B6" s="29" t="str">
        <x:v>Memory margin / CAPEX</x:v>
      </x:c>
      <x:c r="C6" s="30" t="str">
        <x:v>Samsung IR</x:v>
      </x:c>
      <x:c r="D6" s="30" t="str">
        <x:v>https://www.samsung.com/global/ir/</x:v>
      </x:c>
      <x:c r="E6" s="30" t="str"/>
      <x:c r="F6" s="30" t="str">
        <x:v>Segment only</x:v>
      </x:c>
      <x:c r="G6" s="30" t="str">
        <x:v>To source</x:v>
      </x:c>
      <x:c r="H6" s="30" t="str">
        <x:v>Analyst</x:v>
      </x:c>
    </x:row>
    <x:row r="7">
      <x:c r="A7" s="29" t="str">
        <x:v>Kioxia</x:v>
      </x:c>
      <x:c r="B7" s="29" t="str">
        <x:v>NAND EBIT / multiple</x:v>
      </x:c>
      <x:c r="C7" s="30" t="str">
        <x:v>Kioxia IR</x:v>
      </x:c>
      <x:c r="D7" s="30" t="str">
        <x:v>https://www.kioxia-holdings.com/en-jp/ir.html</x:v>
      </x:c>
      <x:c r="E7" s="30" t="str"/>
      <x:c r="F7" s="30" t="str">
        <x:v>Normalize cycle</x:v>
      </x:c>
      <x:c r="G7" s="30" t="str">
        <x:v>To source</x:v>
      </x:c>
      <x:c r="H7" s="30" t="str">
        <x:v>Analyst</x:v>
      </x:c>
    </x:row>
    <x:row r="8">
      <x:c r="A8" s="29" t="str">
        <x:v>SanDisk</x:v>
      </x:c>
      <x:c r="B8" s="29" t="str">
        <x:v>NAND earnings / multiple</x:v>
      </x:c>
      <x:c r="C8" s="30" t="str">
        <x:v>SanDisk IR</x:v>
      </x:c>
      <x:c r="D8" s="30" t="str">
        <x:v>https://investor.sandisk.com/</x:v>
      </x:c>
      <x:c r="E8" s="30" t="str"/>
      <x:c r="F8" s="30" t="str">
        <x:v>Normalize cycle</x:v>
      </x:c>
      <x:c r="G8" s="30" t="str">
        <x:v>To source</x:v>
      </x:c>
      <x:c r="H8" s="30" t="str">
        <x:v>Analyst</x:v>
      </x:c>
    </x:row>
    <x:row r="9">
      <x:c r="A9" s="29" t="str">
        <x:v>SK hynix</x:v>
      </x:c>
      <x:c r="B9" s="29" t="str">
        <x:v>Normalized EPS</x:v>
      </x:c>
      <x:c r="C9" s="30" t="str">
        <x:v>SK hynix IR</x:v>
      </x:c>
      <x:c r="D9" s="30" t="str">
        <x:v>https://news.skhynix.com/category/ir/</x:v>
      </x:c>
      <x:c r="E9" s="30" t="str"/>
      <x:c r="F9" s="30" t="str">
        <x:v>2–3 year probability weighted</x:v>
      </x:c>
      <x:c r="G9" s="30" t="str">
        <x:v>To source</x:v>
      </x:c>
      <x:c r="H9" s="30" t="str">
        <x:v>Analyst</x:v>
      </x:c>
    </x:row>
  </x:sheetData>
  <x:mergeCells>
    <x:mergeCell ref="A1:H1"/>
    <x:mergeCell ref="A2:H2"/>
  </x:mergeCells>
  <x:pageMargins left="0.7" right="0.7" top="0.75" bottom="0.75" header="0.3" footer="0.3"/>
</x:worksheet>
</file>